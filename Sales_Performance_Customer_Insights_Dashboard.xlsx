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usiness Case" sheetId="2" state="visible" r:id="rId4"/>
    <sheet name="Dataset" sheetId="3" state="visible" r:id="rId5"/>
    <sheet name="Lists" sheetId="4" state="hidden" r:id="rId6"/>
    <sheet name="Key Insights" sheetId="5" state="visible" r:id="rId7"/>
    <sheet name="Recommendations" sheetId="6" state="visible" r:id="rId8"/>
  </sheets>
  <definedNames>
    <definedName function="false" hidden="false" name="CategoryList" vbProcedure="false">Lists!$B$1:$B$6</definedName>
    <definedName function="false" hidden="false" name="RegionList" vbProcedure="false">Lists!$A$1:$A$5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<sst xmlns="http://schemas.openxmlformats.org/spreadsheetml/2006/main" count="687" uniqueCount="66">
  <si>
    <t xml:space="preserve">Sales Performance &amp; Customer Insights Dashboard</t>
  </si>
  <si>
    <t xml:space="preserve">Data Source: Dataset (200 orders, FY2024)  |  Use filters below to slice by Region and Product Category</t>
  </si>
  <si>
    <t xml:space="preserve">Region Filter</t>
  </si>
  <si>
    <t xml:space="preserve">All</t>
  </si>
  <si>
    <t xml:space="preserve">Product Category Filter</t>
  </si>
  <si>
    <t xml:space="preserve">Filtered Sales:</t>
  </si>
  <si>
    <t xml:space="preserve">Total Sales ($)</t>
  </si>
  <si>
    <t xml:space="preserve">Total Profit ($)</t>
  </si>
  <si>
    <t xml:space="preserve">Profit Margin %</t>
  </si>
  <si>
    <t xml:space="preserve">Total Quantity Sold</t>
  </si>
  <si>
    <t xml:space="preserve">Chart Data (linked to Dataset)</t>
  </si>
  <si>
    <t xml:space="preserve">Month</t>
  </si>
  <si>
    <t xml:space="preserve">Sales</t>
  </si>
  <si>
    <t xml:space="preserve">Region</t>
  </si>
  <si>
    <t xml:space="preserve">Category</t>
  </si>
  <si>
    <t xml:space="preserve">Profit</t>
  </si>
  <si>
    <t xml:space="preserve">Segment</t>
  </si>
  <si>
    <t xml:space="preserve">Jan</t>
  </si>
  <si>
    <t xml:space="preserve">North</t>
  </si>
  <si>
    <t xml:space="preserve">Electronics</t>
  </si>
  <si>
    <t xml:space="preserve">Consumer</t>
  </si>
  <si>
    <t xml:space="preserve">Feb</t>
  </si>
  <si>
    <t xml:space="preserve">South</t>
  </si>
  <si>
    <t xml:space="preserve">Furniture</t>
  </si>
  <si>
    <t xml:space="preserve">Corporate</t>
  </si>
  <si>
    <t xml:space="preserve">Mar</t>
  </si>
  <si>
    <t xml:space="preserve">East</t>
  </si>
  <si>
    <t xml:space="preserve">Clothing</t>
  </si>
  <si>
    <t xml:space="preserve">Small Business</t>
  </si>
  <si>
    <t xml:space="preserve">Apr</t>
  </si>
  <si>
    <t xml:space="preserve">West</t>
  </si>
  <si>
    <t xml:space="preserve">Office Supplies</t>
  </si>
  <si>
    <t xml:space="preserve">May</t>
  </si>
  <si>
    <t xml:space="preserve">Groceries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</si>
  <si>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</si>
  <si>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</si>
  <si>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</si>
  <si>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</si>
  <si>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</si>
  <si>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</si>
  <si>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</si>
  <si>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Company</t>
  </si>
  <si>
    <t xml:space="preserve">BrightMart Retail Co. is a mid-sized multi-category retailer selling Electronics, Furniture, Clothing, Office Supplies, and Groceries across four U.S. regions to Consumer, Corporate, and Small Business customers.</t>
  </si>
  <si>
    <t xml:space="preserve">Business Problem</t>
  </si>
  <si>
    <t xml:space="preserve">Sales and profit data are recorded transaction-by-transaction but never summarized. Leadership cannot easily tell which regions, categories, or customer segments are actually profitable, so budget and marketing decisions are made without clear evidence.</t>
  </si>
  <si>
    <t xml:space="preserve">Objective</t>
  </si>
  <si>
    <t xml:space="preserve">Build a simple, interactive Excel dashboard that tracks total sales, profit, and quantity sold, and lets managers filter by region and product category to quickly spot top and underperforming segments.</t>
  </si>
  <si>
    <t xml:space="preserve">Order Date</t>
  </si>
  <si>
    <t xml:space="preserve">Product Category</t>
  </si>
  <si>
    <t xml:space="preserve">Customer Segment</t>
  </si>
  <si>
    <t xml:space="preserve">Sales Amount</t>
  </si>
  <si>
    <t xml:space="preserve">Quantity Sold</t>
  </si>
  <si>
    <t xml:space="preserve">Key Insights</t>
  </si>
  <si>
    <t xml:space="preserve">1</t>
  </si>
  <si>
    <t xml:space="preserve">Electronics and Furniture generate the highest average order value, but Groceries has the lowest profit margin of all categories, dragging down overall profitability despite steady sales volume.</t>
  </si>
  <si>
    <t xml:space="preserve">2</t>
  </si>
  <si>
    <t xml:space="preserve">The West and North regions post the strongest total sales, while the South region lags noticeably behind the other three, suggesting an untapped growth opportunity or a regional demand issue.</t>
  </si>
  <si>
    <t xml:space="preserve">3</t>
  </si>
  <si>
    <t xml:space="preserve">Corporate customers place fewer orders than Consumer customers but tend to buy in larger quantities per order, making them a high-value segment worth targeted retention efforts.</t>
  </si>
  <si>
    <t xml:space="preserve">4</t>
  </si>
  <si>
    <t xml:space="preserve">Monthly sales show clear seasonal peaks, with noticeably higher activity in certain months, indicating that inventory and staffing could be planned around these predictable demand swings.</t>
  </si>
  <si>
    <t xml:space="preserve">Recommendations</t>
  </si>
  <si>
    <t xml:space="preserve">Review pricing and supplier costs for Groceries to improve its margin, since volume alone is not translating into meaningful profit.</t>
  </si>
  <si>
    <t xml:space="preserve">Investigate the South region's underperformance with a local sales or marketing push, and compare its store/staffing setup against the stronger-performing regions.</t>
  </si>
  <si>
    <t xml:space="preserve">Build a loyalty or volume-discount program for Corporate customers to protect and grow this high-value, high-quantity segment.</t>
  </si>
  <si>
    <t xml:space="preserve">Use the identified seasonal sales peaks to plan inventory restocking and staffing levels a month ahead, reducing stockouts during high-demand periods.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</si>
</sst>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#,##0"/>
    <numFmt numFmtId="168" formatCode="mm/dd/yyyy"/>
    <numFmt numFmtId="169" formatCode="\$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D3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1F3D33"/>
      <name val="Arial"/>
      <family val="0"/>
      <charset val="1"/>
    </font>
    <font>
      <b val="true"/>
      <sz val="18"/>
      <color rgb="FF1F3D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D33"/>
      <name val="Arial"/>
      <family val="0"/>
      <charset val="1"/>
    </font>
    <font>
      <sz val="11"/>
      <color rgb="FF26262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3B7A5E"/>
      <name val="Arial"/>
      <family val="0"/>
      <charset val="1"/>
    </font>
    <font>
      <sz val="12"/>
      <color rgb="FF26262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AF3EE"/>
      </patternFill>
    </fill>
    <fill>
      <patternFill patternType="solid">
        <fgColor rgb="FFEAF3EE"/>
        <bgColor rgb="FFFFFFFF"/>
      </patternFill>
    </fill>
    <fill>
      <patternFill patternType="solid">
        <fgColor rgb="FF3B7A5E"/>
        <bgColor rgb="FF2E5E4E"/>
      </patternFill>
    </fill>
    <fill>
      <patternFill patternType="solid">
        <fgColor rgb="FF2E5E4E"/>
        <bgColor rgb="FF3B7A5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 diagonalUp="false" diagonalDown="false">
      <left style="thin">
        <color rgb="FF8FC1A6"/>
      </left>
      <right style="thin">
        <color rgb="FF8FC1A6"/>
      </right>
      <top style="thin">
        <color rgb="FF8FC1A6"/>
      </top>
      <bottom style="thin">
        <color rgb="FF8FC1A6"/>
      </bottom>
      <diagonal/>
    </border>
    <border diagonalUp="false" diagonalDown="false">
      <left style="thin">
        <color rgb="FFB7D4C5"/>
      </left>
      <right style="thin">
        <color rgb="FFB7D4C5"/>
      </right>
      <top style="thin">
        <color rgb="FFB7D4C5"/>
      </top>
      <bottom style="thin">
        <color rgb="FFB7D4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E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E5E4E"/>
      <rgbColor rgb="FFB7D4C5"/>
      <rgbColor rgb="FF878787"/>
      <rgbColor rgb="FF9999FF"/>
      <rgbColor rgb="FFC0504D"/>
      <rgbColor rgb="FFFFF2CC"/>
      <rgbColor rgb="FFEAF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C1A6"/>
      <rgbColor rgb="FFFF99CC"/>
      <rgbColor rgb="FFCC99FF"/>
      <rgbColor rgb="FFFFCC99"/>
      <rgbColor rgb="FF4A7EBB"/>
      <rgbColor rgb="FF33CCCC"/>
      <rgbColor rgb="FF9BBB59"/>
      <rgbColor rgb="FFFFCC00"/>
      <rgbColor rgb="FFBF9000"/>
      <rgbColor rgb="FFFF6600"/>
      <rgbColor rgb="FF595959"/>
      <rgbColor rgb="FF4F81BD"/>
      <rgbColor rgb="FF003366"/>
      <rgbColor rgb="FF3B7A5E"/>
      <rgbColor rgb="FF003300"/>
      <rgbColor rgb="FF1F3D33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Dashboard!$B$11:$B$22</c:f>
              <c:numCache>
                <c:formatCode>\$#,##0</c:formatCode>
                <c:ptCount val="12"/>
                <c:pt idx="0">
                  <c:v>14727.98</c:v>
                </c:pt>
                <c:pt idx="1">
                  <c:v>23194.83</c:v>
                </c:pt>
                <c:pt idx="2">
                  <c:v>49868.36</c:v>
                </c:pt>
                <c:pt idx="3">
                  <c:v>21135.41</c:v>
                </c:pt>
                <c:pt idx="4">
                  <c:v>79653.04</c:v>
                </c:pt>
                <c:pt idx="5">
                  <c:v>51474.2</c:v>
                </c:pt>
                <c:pt idx="6">
                  <c:v>43176.75</c:v>
                </c:pt>
                <c:pt idx="7">
                  <c:v>70477.34</c:v>
                </c:pt>
                <c:pt idx="8">
                  <c:v>55339.26</c:v>
                </c:pt>
                <c:pt idx="9">
                  <c:v>15568.29</c:v>
                </c:pt>
                <c:pt idx="10">
                  <c:v>64241.59</c:v>
                </c:pt>
                <c:pt idx="11">
                  <c:v>40737.46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993572"/>
        <c:axId val="97481719"/>
      </c:lineChart>
      <c:catAx>
        <c:axId val="229935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81719"/>
        <c:crosses val="autoZero"/>
        <c:auto val="1"/>
        <c:lblAlgn val="ctr"/>
        <c:lblOffset val="100"/>
        <c:noMultiLvlLbl val="0"/>
      </c:catAx>
      <c:valAx>
        <c:axId val="974817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93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Dashboard!$D$11:$D$14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Dashboard!$E$11:$E$14</c:f>
              <c:numCache>
                <c:formatCode>\$#,##0</c:formatCode>
                <c:ptCount val="4"/>
                <c:pt idx="0">
                  <c:v>149083.04</c:v>
                </c:pt>
                <c:pt idx="1">
                  <c:v>100897.41</c:v>
                </c:pt>
                <c:pt idx="2">
                  <c:v>138952.76</c:v>
                </c:pt>
                <c:pt idx="3">
                  <c:v>140661.3</c:v>
                </c:pt>
              </c:numCache>
            </c:numRef>
          </c:val>
        </c:ser>
        <c:gapWidth val="150"/>
        <c:overlap val="0"/>
        <c:axId val="53354773"/>
        <c:axId val="55819614"/>
      </c:barChart>
      <c:catAx>
        <c:axId val="533547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19614"/>
        <c:crosses val="autoZero"/>
        <c:auto val="1"/>
        <c:lblAlgn val="ctr"/>
        <c:lblOffset val="100"/>
        <c:noMultiLvlLbl val="0"/>
      </c:catAx>
      <c:valAx>
        <c:axId val="55819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547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Dashboard!$G$11:$G$15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Office Supplies</c:v>
                </c:pt>
                <c:pt idx="4">
                  <c:v>Groceries</c:v>
                </c:pt>
              </c:strCache>
            </c:strRef>
          </c:cat>
          <c:val>
            <c:numRef>
              <c:f>Dashboard!$H$11:$H$15</c:f>
              <c:numCache>
                <c:formatCode>\$#,##0</c:formatCode>
                <c:ptCount val="5"/>
                <c:pt idx="0">
                  <c:v>39124.69</c:v>
                </c:pt>
                <c:pt idx="1">
                  <c:v>51768.34</c:v>
                </c:pt>
                <c:pt idx="2">
                  <c:v>12029.38</c:v>
                </c:pt>
                <c:pt idx="3">
                  <c:v>6946.88</c:v>
                </c:pt>
                <c:pt idx="4">
                  <c:v>1890.68</c:v>
                </c:pt>
              </c:numCache>
            </c:numRef>
          </c:val>
        </c:ser>
        <c:gapWidth val="150"/>
        <c:overlap val="0"/>
        <c:axId val="35279873"/>
        <c:axId val="16661223"/>
      </c:barChart>
      <c:catAx>
        <c:axId val="35279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61223"/>
        <c:crosses val="autoZero"/>
        <c:auto val="1"/>
        <c:lblAlgn val="ctr"/>
        <c:lblOffset val="100"/>
        <c:noMultiLvlLbl val="0"/>
      </c:catAx>
      <c:valAx>
        <c:axId val="16661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79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Dashboard!K10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Dashboard!$J$11:$J$13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Dashboard!$K$11:$K$13</c:f>
              <c:numCache>
                <c:formatCode>\$#,##0</c:formatCode>
                <c:ptCount val="3"/>
                <c:pt idx="0">
                  <c:v>141741.76</c:v>
                </c:pt>
                <c:pt idx="1">
                  <c:v>177815.13</c:v>
                </c:pt>
                <c:pt idx="2">
                  <c:v>210037.62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825480</xdr:colOff>
      <xdr:row>39</xdr:row>
      <xdr:rowOff>21600</xdr:rowOff>
    </xdr:to>
    <xdr:graphicFrame>
      <xdr:nvGraphicFramePr>
        <xdr:cNvPr id="0" name="Chart 1"/>
        <xdr:cNvGraphicFramePr/>
      </xdr:nvGraphicFramePr>
      <xdr:xfrm>
        <a:off x="0" y="48290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14</xdr:col>
      <xdr:colOff>566280</xdr:colOff>
      <xdr:row>39</xdr:row>
      <xdr:rowOff>21600</xdr:rowOff>
    </xdr:to>
    <xdr:graphicFrame>
      <xdr:nvGraphicFramePr>
        <xdr:cNvPr id="1" name="Chart 2"/>
        <xdr:cNvGraphicFramePr/>
      </xdr:nvGraphicFramePr>
      <xdr:xfrm>
        <a:off x="6061680" y="48290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6</xdr:col>
      <xdr:colOff>825480</xdr:colOff>
      <xdr:row>56</xdr:row>
      <xdr:rowOff>21600</xdr:rowOff>
    </xdr:to>
    <xdr:graphicFrame>
      <xdr:nvGraphicFramePr>
        <xdr:cNvPr id="2" name="Chart 3"/>
        <xdr:cNvGraphicFramePr/>
      </xdr:nvGraphicFramePr>
      <xdr:xfrm>
        <a:off x="0" y="80676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14</xdr:col>
      <xdr:colOff>566280</xdr:colOff>
      <xdr:row>56</xdr:row>
      <xdr:rowOff>21600</xdr:rowOff>
    </xdr:to>
    <xdr:graphicFrame>
      <xdr:nvGraphicFramePr>
        <xdr:cNvPr id="3" name="Chart 4"/>
        <xdr:cNvGraphicFramePr/>
      </xdr:nvGraphicFramePr>
      <xdr:xfrm>
        <a:off x="6061680" y="80676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G201" headerRowCount="1" totalsRowCount="0" totalsRowShown="0">
  <autoFilter ref="A1:G201"/>
  <tableColumns count="7">
    <tableColumn id="1" name="Order Date"/>
    <tableColumn id="2" name="Product Category"/>
    <tableColumn id="3" name="Region"/>
    <tableColumn id="4" name="Customer Segment"/>
    <tableColumn id="5" name="Sales Amount"/>
    <tableColumn id="6" name="Profit"/>
    <tableColumn id="7" name="Quantity Sol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D33"/>
    <pageSetUpPr fitToPage="false"/>
  </sheetPr>
  <dimension ref="A1:M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4"/>
    <col collapsed="false" customWidth="true" hidden="false" outlineLevel="0" max="13" min="13" style="1" width="1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1.75" hidden="false" customHeight="true" outlineLevel="0" collapsed="false">
      <c r="A4" s="4" t="s">
        <v>2</v>
      </c>
      <c r="B4" s="5" t="s">
        <v>3</v>
      </c>
      <c r="D4" s="4" t="s">
        <v>4</v>
      </c>
      <c r="E4" s="4"/>
      <c r="F4" s="5" t="s">
        <v>3</v>
      </c>
      <c r="H4" s="4" t="s">
        <v>5</v>
      </c>
      <c r="I4" s="6" t="n">
        <f aca="false">SUMPRODUCT(((Dataset!$C$2:$C$201=IF($B$4="All",Dataset!$C$2:$C$201,$B$4)))*((Dataset!$B$2:$B$201=IF($F$4="All",Dataset!$B$2:$B$201,$F$4)))*(Dataset!$E$2:$E$201))</f>
        <v>529594.51</v>
      </c>
    </row>
    <row r="6" customFormat="false" ht="15" hidden="false" customHeight="true" outlineLevel="0" collapsed="false">
      <c r="A6" s="7" t="s">
        <v>6</v>
      </c>
      <c r="B6" s="7"/>
      <c r="C6" s="7"/>
      <c r="D6" s="7" t="s">
        <v>7</v>
      </c>
      <c r="E6" s="7"/>
      <c r="F6" s="7"/>
      <c r="G6" s="7" t="s">
        <v>8</v>
      </c>
      <c r="H6" s="7"/>
      <c r="I6" s="7"/>
      <c r="J6" s="7" t="s">
        <v>9</v>
      </c>
      <c r="K6" s="7"/>
      <c r="L6" s="7"/>
    </row>
    <row r="7" customFormat="false" ht="27.75" hidden="false" customHeight="true" outlineLevel="0" collapsed="false">
      <c r="A7" s="8" t="n">
        <f aca="false">SUM(Dataset!E2:E201)</f>
        <v>529594.51</v>
      </c>
      <c r="B7" s="8"/>
      <c r="C7" s="8"/>
      <c r="D7" s="8" t="n">
        <f aca="false">SUM(Dataset!F2:F201)</f>
        <v>111759.97</v>
      </c>
      <c r="E7" s="8"/>
      <c r="F7" s="8"/>
      <c r="G7" s="9" t="n">
        <f aca="false">SUM(Dataset!F2:F201)/SUM(Dataset!E2:E201)</f>
        <v>0.21102932128205</v>
      </c>
      <c r="H7" s="9"/>
      <c r="I7" s="9"/>
      <c r="J7" s="10" t="n">
        <f aca="false">SUM(Dataset!G2:G201)</f>
        <v>2351</v>
      </c>
      <c r="K7" s="10"/>
      <c r="L7" s="10"/>
    </row>
    <row r="9" customFormat="false" ht="15.75" hidden="false" customHeight="true" outlineLevel="0" collapsed="false">
      <c r="A9" s="11" t="s">
        <v>10</v>
      </c>
      <c r="B9" s="12"/>
    </row>
    <row r="10" customFormat="false" ht="15" hidden="false" customHeight="true" outlineLevel="0" collapsed="false">
      <c r="A10" s="13" t="s">
        <v>11</v>
      </c>
      <c r="B10" s="13" t="s">
        <v>12</v>
      </c>
      <c r="D10" s="13" t="s">
        <v>13</v>
      </c>
      <c r="E10" s="13" t="s">
        <v>12</v>
      </c>
      <c r="G10" s="13" t="s">
        <v>14</v>
      </c>
      <c r="H10" s="13" t="s">
        <v>15</v>
      </c>
      <c r="J10" s="13" t="s">
        <v>16</v>
      </c>
      <c r="K10" s="13" t="s">
        <v>12</v>
      </c>
    </row>
    <row r="11" customFormat="false" ht="15" hidden="false" customHeight="true" outlineLevel="0" collapsed="false">
      <c r="A11" s="14" t="s">
        <v>17</v>
      </c>
      <c r="B11" s="15" t="n">
        <f aca="false">SUMPRODUCT((MONTH(Dataset!$A$2:$A$201)=1)*(Dataset!$E$2:$E$201))</f>
        <v>14727.98</v>
      </c>
      <c r="D11" s="14" t="s">
        <v>18</v>
      </c>
      <c r="E11" s="15" t="n">
        <f aca="false">SUMIF(Dataset!$C$2:$C$201,$D11,Dataset!$E$2:$E$201)</f>
        <v>149083.04</v>
      </c>
      <c r="G11" s="14" t="s">
        <v>19</v>
      </c>
      <c r="H11" s="15" t="n">
        <f aca="false">SUMIF(Dataset!$B$2:$B$201,$G11,Dataset!$F$2:$F$201)</f>
        <v>39124.69</v>
      </c>
      <c r="J11" s="14" t="s">
        <v>20</v>
      </c>
      <c r="K11" s="15" t="n">
        <f aca="false">SUMIF(Dataset!$D$2:$D$201,$J11,Dataset!$E$2:$E$201)</f>
        <v>141741.76</v>
      </c>
    </row>
    <row r="12" customFormat="false" ht="15" hidden="false" customHeight="true" outlineLevel="0" collapsed="false">
      <c r="A12" s="14" t="s">
        <v>21</v>
      </c>
      <c r="B12" s="15" t="n">
        <f aca="false">SUMPRODUCT((MONTH(Dataset!$A$2:$A$201)=2)*(Dataset!$E$2:$E$201))</f>
        <v>23194.83</v>
      </c>
      <c r="D12" s="14" t="s">
        <v>22</v>
      </c>
      <c r="E12" s="15" t="n">
        <f aca="false">SUMIF(Dataset!$C$2:$C$201,$D12,Dataset!$E$2:$E$201)</f>
        <v>100897.41</v>
      </c>
      <c r="G12" s="14" t="s">
        <v>23</v>
      </c>
      <c r="H12" s="15" t="n">
        <f aca="false">SUMIF(Dataset!$B$2:$B$201,$G12,Dataset!$F$2:$F$201)</f>
        <v>51768.34</v>
      </c>
      <c r="J12" s="14" t="s">
        <v>24</v>
      </c>
      <c r="K12" s="15" t="n">
        <f aca="false">SUMIF(Dataset!$D$2:$D$201,$J12,Dataset!$E$2:$E$201)</f>
        <v>177815.13</v>
      </c>
    </row>
    <row r="13" customFormat="false" ht="15" hidden="false" customHeight="true" outlineLevel="0" collapsed="false">
      <c r="A13" s="14" t="s">
        <v>25</v>
      </c>
      <c r="B13" s="15" t="n">
        <f aca="false">SUMPRODUCT((MONTH(Dataset!$A$2:$A$201)=3)*(Dataset!$E$2:$E$201))</f>
        <v>49868.36</v>
      </c>
      <c r="D13" s="14" t="s">
        <v>26</v>
      </c>
      <c r="E13" s="15" t="n">
        <f aca="false">SUMIF(Dataset!$C$2:$C$201,$D13,Dataset!$E$2:$E$201)</f>
        <v>138952.76</v>
      </c>
      <c r="G13" s="14" t="s">
        <v>27</v>
      </c>
      <c r="H13" s="15" t="n">
        <f aca="false">SUMIF(Dataset!$B$2:$B$201,$G13,Dataset!$F$2:$F$201)</f>
        <v>12029.38</v>
      </c>
      <c r="J13" s="14" t="s">
        <v>28</v>
      </c>
      <c r="K13" s="15" t="n">
        <f aca="false">SUMIF(Dataset!$D$2:$D$201,$J13,Dataset!$E$2:$E$201)</f>
        <v>210037.62</v>
      </c>
    </row>
    <row r="14" customFormat="false" ht="15" hidden="false" customHeight="true" outlineLevel="0" collapsed="false">
      <c r="A14" s="14" t="s">
        <v>29</v>
      </c>
      <c r="B14" s="15" t="n">
        <f aca="false">SUMPRODUCT((MONTH(Dataset!$A$2:$A$201)=4)*(Dataset!$E$2:$E$201))</f>
        <v>21135.41</v>
      </c>
      <c r="D14" s="14" t="s">
        <v>30</v>
      </c>
      <c r="E14" s="15" t="n">
        <f aca="false">SUMIF(Dataset!$C$2:$C$201,$D14,Dataset!$E$2:$E$201)</f>
        <v>140661.3</v>
      </c>
      <c r="G14" s="14" t="s">
        <v>31</v>
      </c>
      <c r="H14" s="15" t="n">
        <f aca="false">SUMIF(Dataset!$B$2:$B$201,$G14,Dataset!$F$2:$F$201)</f>
        <v>6946.88</v>
      </c>
    </row>
    <row r="15" customFormat="false" ht="15" hidden="false" customHeight="true" outlineLevel="0" collapsed="false">
      <c r="A15" s="14" t="s">
        <v>32</v>
      </c>
      <c r="B15" s="15" t="n">
        <f aca="false">SUMPRODUCT((MONTH(Dataset!$A$2:$A$201)=5)*(Dataset!$E$2:$E$201))</f>
        <v>79653.04</v>
      </c>
      <c r="G15" s="14" t="s">
        <v>33</v>
      </c>
      <c r="H15" s="15" t="n">
        <f aca="false">SUMIF(Dataset!$B$2:$B$201,$G15,Dataset!$F$2:$F$201)</f>
        <v>1890.68</v>
      </c>
    </row>
    <row r="16" customFormat="false" ht="15" hidden="false" customHeight="true" outlineLevel="0" collapsed="false">
      <c r="A16" s="14" t="s">
        <v>34</v>
      </c>
      <c r="B16" s="15" t="n">
        <f aca="false">SUMPRODUCT((MONTH(Dataset!$A$2:$A$201)=6)*(Dataset!$E$2:$E$201))</f>
        <v>51474.2</v>
      </c>
    </row>
    <row r="17" customFormat="false" ht="15" hidden="false" customHeight="true" outlineLevel="0" collapsed="false">
      <c r="A17" s="14" t="s">
        <v>35</v>
      </c>
      <c r="B17" s="15" t="n">
        <f aca="false">SUMPRODUCT((MONTH(Dataset!$A$2:$A$201)=7)*(Dataset!$E$2:$E$201))</f>
        <v>43176.75</v>
      </c>
    </row>
    <row r="18" customFormat="false" ht="15" hidden="false" customHeight="true" outlineLevel="0" collapsed="false">
      <c r="A18" s="14" t="s">
        <v>36</v>
      </c>
      <c r="B18" s="15" t="n">
        <f aca="false">SUMPRODUCT((MONTH(Dataset!$A$2:$A$201)=8)*(Dataset!$E$2:$E$201))</f>
        <v>70477.34</v>
      </c>
    </row>
    <row r="19" customFormat="false" ht="15" hidden="false" customHeight="true" outlineLevel="0" collapsed="false">
      <c r="A19" s="14" t="s">
        <v>37</v>
      </c>
      <c r="B19" s="15" t="n">
        <f aca="false">SUMPRODUCT((MONTH(Dataset!$A$2:$A$201)=9)*(Dataset!$E$2:$E$201))</f>
        <v>55339.26</v>
      </c>
    </row>
    <row r="20" customFormat="false" ht="15" hidden="false" customHeight="true" outlineLevel="0" collapsed="false">
      <c r="A20" s="14" t="s">
        <v>38</v>
      </c>
      <c r="B20" s="15" t="n">
        <f aca="false">SUMPRODUCT((MONTH(Dataset!$A$2:$A$201)=10)*(Dataset!$E$2:$E$201))</f>
        <v>15568.29</v>
      </c>
    </row>
    <row r="21" customFormat="false" ht="15" hidden="false" customHeight="true" outlineLevel="0" collapsed="false">
      <c r="A21" s="14" t="s">
        <v>39</v>
      </c>
      <c r="B21" s="15" t="n">
        <f aca="false">SUMPRODUCT((MONTH(Dataset!$A$2:$A$201)=11)*(Dataset!$E$2:$E$201))</f>
        <v>64241.59</v>
      </c>
    </row>
    <row r="22" customFormat="false" ht="15" hidden="false" customHeight="true" outlineLevel="0" collapsed="false">
      <c r="A22" s="14" t="s">
        <v>40</v>
      </c>
      <c r="B22" s="15" t="n">
        <f aca="false">SUMPRODUCT((MONTH(Dataset!$A$2:$A$201)=12)*(Dataset!$E$2:$E$201))</f>
        <v>40737.46</v>
      </c>
    </row>
  </sheetData>
  <mergeCells count="11">
    <mergeCell ref="A1:M2"/>
    <mergeCell ref="A3:M3"/>
    <mergeCell ref="D4:E4"/>
    <mergeCell ref="A6:C6"/>
    <mergeCell ref="D6:F6"/>
    <mergeCell ref="G6:I6"/>
    <mergeCell ref="J6:L6"/>
    <mergeCell ref="A7:C7"/>
    <mergeCell ref="D7:F7"/>
    <mergeCell ref="G7:I7"/>
    <mergeCell ref="J7:L7"/>
  </mergeCells>
  <dataValidations count="2">
    <dataValidation allowBlank="false" errorStyle="stop" operator="between" prompt="Select a Region to filter the dashboard" promptTitle="Region Filter" showDropDown="false" showErrorMessage="false" showInputMessage="false" sqref="B4" type="list">
      <formula1>RegionList</formula1>
      <formula2>0</formula2>
    </dataValidation>
    <dataValidation allowBlank="false" errorStyle="stop" operator="between" prompt="Select a Product Category to filter the dashboard" promptTitle="Category Filter" showDropDown="false" showErrorMessage="false" showInputMessage="false" sqref="F4" type="list">
      <formula1>CategoryList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A5E"/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4" customFormat="false" ht="15" hidden="false" customHeight="true" outlineLevel="0" collapsed="false">
      <c r="A4" s="16" t="s">
        <v>41</v>
      </c>
    </row>
    <row r="5" customFormat="false" ht="31.5" hidden="false" customHeight="true" outlineLevel="0" collapsed="false">
      <c r="A5" s="17" t="s">
        <v>42</v>
      </c>
      <c r="B5" s="17"/>
      <c r="C5" s="17"/>
      <c r="D5" s="17"/>
      <c r="E5" s="17"/>
      <c r="F5" s="17"/>
      <c r="G5" s="17"/>
      <c r="H5" s="17"/>
    </row>
    <row r="7" customFormat="false" ht="15" hidden="false" customHeight="true" outlineLevel="0" collapsed="false">
      <c r="A7" s="16" t="s">
        <v>43</v>
      </c>
    </row>
    <row r="8" customFormat="false" ht="31.5" hidden="false" customHeight="true" outlineLevel="0" collapsed="false">
      <c r="A8" s="17" t="s">
        <v>44</v>
      </c>
      <c r="B8" s="17"/>
      <c r="C8" s="17"/>
      <c r="D8" s="17"/>
      <c r="E8" s="17"/>
      <c r="F8" s="17"/>
      <c r="G8" s="17"/>
      <c r="H8" s="17"/>
    </row>
    <row r="10" customFormat="false" ht="15" hidden="false" customHeight="true" outlineLevel="0" collapsed="false">
      <c r="A10" s="16" t="s">
        <v>45</v>
      </c>
    </row>
    <row r="11" customFormat="false" ht="31.5" hidden="false" customHeight="true" outlineLevel="0" collapsed="false">
      <c r="A11" s="17" t="s">
        <v>46</v>
      </c>
      <c r="B11" s="17"/>
      <c r="C11" s="17"/>
      <c r="D11" s="17"/>
      <c r="E11" s="17"/>
      <c r="F11" s="17"/>
      <c r="G11" s="17"/>
      <c r="H11" s="17"/>
    </row>
  </sheetData>
  <mergeCells count="4">
    <mergeCell ref="A1:F2"/>
    <mergeCell ref="A5:H5"/>
    <mergeCell ref="A8:H8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A5E"/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7"/>
    <col collapsed="false" customWidth="true" hidden="false" outlineLevel="0" max="3" min="3" style="1" width="10"/>
    <col collapsed="false" customWidth="true" hidden="false" outlineLevel="0" max="4" min="4" style="1" width="17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15" hidden="false" customHeight="true" outlineLevel="0" collapsed="false">
      <c r="A1" s="18" t="s">
        <v>47</v>
      </c>
      <c r="B1" s="18" t="s">
        <v>48</v>
      </c>
      <c r="C1" s="18" t="s">
        <v>13</v>
      </c>
      <c r="D1" s="18" t="s">
        <v>49</v>
      </c>
      <c r="E1" s="18" t="s">
        <v>50</v>
      </c>
      <c r="F1" s="18" t="s">
        <v>15</v>
      </c>
      <c r="G1" s="18" t="s">
        <v>51</v>
      </c>
    </row>
    <row r="2" customFormat="false" ht="15" hidden="false" customHeight="true" outlineLevel="0" collapsed="false">
      <c r="A2" s="19" t="n">
        <v>45457</v>
      </c>
      <c r="B2" s="20" t="s">
        <v>23</v>
      </c>
      <c r="C2" s="20" t="s">
        <v>30</v>
      </c>
      <c r="D2" s="20" t="s">
        <v>28</v>
      </c>
      <c r="E2" s="21" t="n">
        <v>301.42</v>
      </c>
      <c r="F2" s="21" t="n">
        <v>69.04</v>
      </c>
      <c r="G2" s="20" t="n">
        <v>2</v>
      </c>
    </row>
    <row r="3" customFormat="false" ht="15" hidden="false" customHeight="true" outlineLevel="0" collapsed="false">
      <c r="A3" s="19" t="n">
        <v>45479</v>
      </c>
      <c r="B3" s="20" t="s">
        <v>33</v>
      </c>
      <c r="C3" s="20" t="s">
        <v>18</v>
      </c>
      <c r="D3" s="20" t="s">
        <v>28</v>
      </c>
      <c r="E3" s="21" t="n">
        <v>54.67</v>
      </c>
      <c r="F3" s="21" t="n">
        <v>6.53</v>
      </c>
      <c r="G3" s="20" t="n">
        <v>7</v>
      </c>
    </row>
    <row r="4" customFormat="false" ht="15" hidden="false" customHeight="true" outlineLevel="0" collapsed="false">
      <c r="A4" s="19" t="n">
        <v>45327</v>
      </c>
      <c r="B4" s="20" t="s">
        <v>23</v>
      </c>
      <c r="C4" s="20" t="s">
        <v>18</v>
      </c>
      <c r="D4" s="20" t="s">
        <v>28</v>
      </c>
      <c r="E4" s="21" t="n">
        <v>1979.32</v>
      </c>
      <c r="F4" s="21" t="n">
        <v>459.16</v>
      </c>
      <c r="G4" s="20" t="n">
        <v>14</v>
      </c>
    </row>
    <row r="5" customFormat="false" ht="15" hidden="false" customHeight="true" outlineLevel="0" collapsed="false">
      <c r="A5" s="19" t="n">
        <v>45406</v>
      </c>
      <c r="B5" s="20" t="s">
        <v>33</v>
      </c>
      <c r="C5" s="20" t="s">
        <v>18</v>
      </c>
      <c r="D5" s="20" t="s">
        <v>28</v>
      </c>
      <c r="E5" s="21" t="n">
        <v>660.25</v>
      </c>
      <c r="F5" s="21" t="n">
        <v>98.19</v>
      </c>
      <c r="G5" s="20" t="n">
        <v>19</v>
      </c>
    </row>
    <row r="6" customFormat="false" ht="15" hidden="false" customHeight="true" outlineLevel="0" collapsed="false">
      <c r="A6" s="19" t="n">
        <v>45315</v>
      </c>
      <c r="B6" s="20" t="s">
        <v>33</v>
      </c>
      <c r="C6" s="20" t="s">
        <v>22</v>
      </c>
      <c r="D6" s="20" t="s">
        <v>24</v>
      </c>
      <c r="E6" s="21" t="n">
        <v>221.48</v>
      </c>
      <c r="F6" s="21" t="n">
        <v>22.67</v>
      </c>
      <c r="G6" s="20" t="n">
        <v>14</v>
      </c>
    </row>
    <row r="7" customFormat="false" ht="15" hidden="false" customHeight="true" outlineLevel="0" collapsed="false">
      <c r="A7" s="19" t="n">
        <v>45449</v>
      </c>
      <c r="B7" s="20" t="s">
        <v>33</v>
      </c>
      <c r="C7" s="20" t="s">
        <v>22</v>
      </c>
      <c r="D7" s="20" t="s">
        <v>20</v>
      </c>
      <c r="E7" s="21" t="n">
        <v>908.96</v>
      </c>
      <c r="F7" s="21" t="n">
        <v>96.48</v>
      </c>
      <c r="G7" s="20" t="n">
        <v>19</v>
      </c>
    </row>
    <row r="8" customFormat="false" ht="15" hidden="false" customHeight="true" outlineLevel="0" collapsed="false">
      <c r="A8" s="19" t="n">
        <v>45341</v>
      </c>
      <c r="B8" s="20" t="s">
        <v>33</v>
      </c>
      <c r="C8" s="20" t="s">
        <v>18</v>
      </c>
      <c r="D8" s="20" t="s">
        <v>28</v>
      </c>
      <c r="E8" s="21" t="n">
        <v>102.86</v>
      </c>
      <c r="F8" s="21" t="n">
        <v>12.63</v>
      </c>
      <c r="G8" s="20" t="n">
        <v>2</v>
      </c>
    </row>
    <row r="9" customFormat="false" ht="15" hidden="false" customHeight="true" outlineLevel="0" collapsed="false">
      <c r="A9" s="19" t="n">
        <v>45564</v>
      </c>
      <c r="B9" s="20" t="s">
        <v>31</v>
      </c>
      <c r="C9" s="20" t="s">
        <v>26</v>
      </c>
      <c r="D9" s="20" t="s">
        <v>24</v>
      </c>
      <c r="E9" s="21" t="n">
        <v>2120.02</v>
      </c>
      <c r="F9" s="21" t="n">
        <v>571.47</v>
      </c>
      <c r="G9" s="20" t="n">
        <v>19</v>
      </c>
    </row>
    <row r="10" customFormat="false" ht="15" hidden="false" customHeight="true" outlineLevel="0" collapsed="false">
      <c r="A10" s="19" t="n">
        <v>45419</v>
      </c>
      <c r="B10" s="20" t="s">
        <v>23</v>
      </c>
      <c r="C10" s="20" t="s">
        <v>22</v>
      </c>
      <c r="D10" s="20" t="s">
        <v>20</v>
      </c>
      <c r="E10" s="21" t="n">
        <v>5893.23</v>
      </c>
      <c r="F10" s="21" t="n">
        <v>1326.07</v>
      </c>
      <c r="G10" s="20" t="n">
        <v>19</v>
      </c>
    </row>
    <row r="11" customFormat="false" ht="15" hidden="false" customHeight="true" outlineLevel="0" collapsed="false">
      <c r="A11" s="19" t="n">
        <v>45467</v>
      </c>
      <c r="B11" s="20" t="s">
        <v>31</v>
      </c>
      <c r="C11" s="20" t="s">
        <v>26</v>
      </c>
      <c r="D11" s="20" t="s">
        <v>28</v>
      </c>
      <c r="E11" s="21" t="n">
        <v>68.97</v>
      </c>
      <c r="F11" s="21" t="n">
        <v>19.08</v>
      </c>
      <c r="G11" s="20" t="n">
        <v>3</v>
      </c>
    </row>
    <row r="12" customFormat="false" ht="15" hidden="false" customHeight="true" outlineLevel="0" collapsed="false">
      <c r="A12" s="19" t="n">
        <v>45467</v>
      </c>
      <c r="B12" s="20" t="s">
        <v>23</v>
      </c>
      <c r="C12" s="20" t="s">
        <v>30</v>
      </c>
      <c r="D12" s="20" t="s">
        <v>24</v>
      </c>
      <c r="E12" s="21" t="n">
        <v>1546.82</v>
      </c>
      <c r="F12" s="21" t="n">
        <v>284.13</v>
      </c>
      <c r="G12" s="20" t="n">
        <v>2</v>
      </c>
    </row>
    <row r="13" customFormat="false" ht="15" hidden="false" customHeight="true" outlineLevel="0" collapsed="false">
      <c r="A13" s="19" t="n">
        <v>45577</v>
      </c>
      <c r="B13" s="20" t="s">
        <v>33</v>
      </c>
      <c r="C13" s="20" t="s">
        <v>26</v>
      </c>
      <c r="D13" s="20" t="s">
        <v>24</v>
      </c>
      <c r="E13" s="21" t="n">
        <v>718.98</v>
      </c>
      <c r="F13" s="21" t="n">
        <v>88.31</v>
      </c>
      <c r="G13" s="20" t="n">
        <v>23</v>
      </c>
    </row>
    <row r="14" customFormat="false" ht="15" hidden="false" customHeight="true" outlineLevel="0" collapsed="false">
      <c r="A14" s="19" t="n">
        <v>45525</v>
      </c>
      <c r="B14" s="20" t="s">
        <v>19</v>
      </c>
      <c r="C14" s="20" t="s">
        <v>18</v>
      </c>
      <c r="D14" s="20" t="s">
        <v>24</v>
      </c>
      <c r="E14" s="21" t="n">
        <v>7079.36</v>
      </c>
      <c r="F14" s="21" t="n">
        <v>1056.7</v>
      </c>
      <c r="G14" s="20" t="n">
        <v>16</v>
      </c>
    </row>
    <row r="15" customFormat="false" ht="15" hidden="false" customHeight="true" outlineLevel="0" collapsed="false">
      <c r="A15" s="19" t="n">
        <v>45651</v>
      </c>
      <c r="B15" s="20" t="s">
        <v>27</v>
      </c>
      <c r="C15" s="20" t="s">
        <v>30</v>
      </c>
      <c r="D15" s="20" t="s">
        <v>24</v>
      </c>
      <c r="E15" s="21" t="n">
        <v>1613.45</v>
      </c>
      <c r="F15" s="21" t="n">
        <v>621.68</v>
      </c>
      <c r="G15" s="20" t="n">
        <v>23</v>
      </c>
    </row>
    <row r="16" customFormat="false" ht="15" hidden="false" customHeight="true" outlineLevel="0" collapsed="false">
      <c r="A16" s="19" t="n">
        <v>45303</v>
      </c>
      <c r="B16" s="20" t="s">
        <v>31</v>
      </c>
      <c r="C16" s="20" t="s">
        <v>26</v>
      </c>
      <c r="D16" s="20" t="s">
        <v>20</v>
      </c>
      <c r="E16" s="21" t="n">
        <v>457.6</v>
      </c>
      <c r="F16" s="21" t="n">
        <v>105.9</v>
      </c>
      <c r="G16" s="20" t="n">
        <v>20</v>
      </c>
    </row>
    <row r="17" customFormat="false" ht="15" hidden="false" customHeight="true" outlineLevel="0" collapsed="false">
      <c r="A17" s="19" t="n">
        <v>45439</v>
      </c>
      <c r="B17" s="20" t="s">
        <v>23</v>
      </c>
      <c r="C17" s="20" t="s">
        <v>22</v>
      </c>
      <c r="D17" s="20" t="s">
        <v>24</v>
      </c>
      <c r="E17" s="21" t="n">
        <v>9643.01</v>
      </c>
      <c r="F17" s="21" t="n">
        <v>2171.16</v>
      </c>
      <c r="G17" s="20" t="n">
        <v>13</v>
      </c>
    </row>
    <row r="18" customFormat="false" ht="15" hidden="false" customHeight="true" outlineLevel="0" collapsed="false">
      <c r="A18" s="19" t="n">
        <v>45377</v>
      </c>
      <c r="B18" s="20" t="s">
        <v>31</v>
      </c>
      <c r="C18" s="20" t="s">
        <v>30</v>
      </c>
      <c r="D18" s="20" t="s">
        <v>28</v>
      </c>
      <c r="E18" s="21" t="n">
        <v>964.53</v>
      </c>
      <c r="F18" s="21" t="n">
        <v>315.62</v>
      </c>
      <c r="G18" s="20" t="n">
        <v>9</v>
      </c>
    </row>
    <row r="19" customFormat="false" ht="15" hidden="false" customHeight="true" outlineLevel="0" collapsed="false">
      <c r="A19" s="19" t="n">
        <v>45573</v>
      </c>
      <c r="B19" s="20" t="s">
        <v>27</v>
      </c>
      <c r="C19" s="20" t="s">
        <v>30</v>
      </c>
      <c r="D19" s="20" t="s">
        <v>24</v>
      </c>
      <c r="E19" s="21" t="n">
        <v>2968.9</v>
      </c>
      <c r="F19" s="21" t="n">
        <v>1279.13</v>
      </c>
      <c r="G19" s="20" t="n">
        <v>22</v>
      </c>
    </row>
    <row r="20" customFormat="false" ht="15" hidden="false" customHeight="true" outlineLevel="0" collapsed="false">
      <c r="A20" s="19" t="n">
        <v>45369</v>
      </c>
      <c r="B20" s="20" t="s">
        <v>19</v>
      </c>
      <c r="C20" s="20" t="s">
        <v>22</v>
      </c>
      <c r="D20" s="20" t="s">
        <v>20</v>
      </c>
      <c r="E20" s="21" t="n">
        <v>3379.44</v>
      </c>
      <c r="F20" s="21" t="n">
        <v>489.94</v>
      </c>
      <c r="G20" s="20" t="n">
        <v>8</v>
      </c>
    </row>
    <row r="21" customFormat="false" ht="15" hidden="false" customHeight="true" outlineLevel="0" collapsed="false">
      <c r="A21" s="19" t="n">
        <v>45593</v>
      </c>
      <c r="B21" s="20" t="s">
        <v>23</v>
      </c>
      <c r="C21" s="20" t="s">
        <v>26</v>
      </c>
      <c r="D21" s="20" t="s">
        <v>24</v>
      </c>
      <c r="E21" s="21" t="n">
        <v>201.97</v>
      </c>
      <c r="F21" s="21" t="n">
        <v>46.24</v>
      </c>
      <c r="G21" s="20" t="n">
        <v>1</v>
      </c>
    </row>
    <row r="22" customFormat="false" ht="15" hidden="false" customHeight="true" outlineLevel="0" collapsed="false">
      <c r="A22" s="19" t="n">
        <v>45604</v>
      </c>
      <c r="B22" s="20" t="s">
        <v>33</v>
      </c>
      <c r="C22" s="20" t="s">
        <v>26</v>
      </c>
      <c r="D22" s="20" t="s">
        <v>20</v>
      </c>
      <c r="E22" s="21" t="n">
        <v>1597.12</v>
      </c>
      <c r="F22" s="21" t="n">
        <v>235.28</v>
      </c>
      <c r="G22" s="20" t="n">
        <v>23</v>
      </c>
    </row>
    <row r="23" customFormat="false" ht="15" hidden="false" customHeight="true" outlineLevel="0" collapsed="false">
      <c r="A23" s="19" t="n">
        <v>45627</v>
      </c>
      <c r="B23" s="20" t="s">
        <v>19</v>
      </c>
      <c r="C23" s="20" t="s">
        <v>30</v>
      </c>
      <c r="D23" s="20" t="s">
        <v>28</v>
      </c>
      <c r="E23" s="21" t="n">
        <v>5112.72</v>
      </c>
      <c r="F23" s="21" t="n">
        <v>901.46</v>
      </c>
      <c r="G23" s="20" t="n">
        <v>18</v>
      </c>
    </row>
    <row r="24" customFormat="false" ht="15" hidden="false" customHeight="true" outlineLevel="0" collapsed="false">
      <c r="A24" s="19" t="n">
        <v>45345</v>
      </c>
      <c r="B24" s="20" t="s">
        <v>31</v>
      </c>
      <c r="C24" s="20" t="s">
        <v>30</v>
      </c>
      <c r="D24" s="20" t="s">
        <v>20</v>
      </c>
      <c r="E24" s="21" t="n">
        <v>121.87</v>
      </c>
      <c r="F24" s="21" t="n">
        <v>30.5</v>
      </c>
      <c r="G24" s="20" t="n">
        <v>7</v>
      </c>
    </row>
    <row r="25" customFormat="false" ht="15" hidden="false" customHeight="true" outlineLevel="0" collapsed="false">
      <c r="A25" s="19" t="n">
        <v>45375</v>
      </c>
      <c r="B25" s="20" t="s">
        <v>19</v>
      </c>
      <c r="C25" s="20" t="s">
        <v>26</v>
      </c>
      <c r="D25" s="20" t="s">
        <v>28</v>
      </c>
      <c r="E25" s="21" t="n">
        <v>266.48</v>
      </c>
      <c r="F25" s="21" t="n">
        <v>50.61</v>
      </c>
      <c r="G25" s="20" t="n">
        <v>2</v>
      </c>
    </row>
    <row r="26" customFormat="false" ht="15" hidden="false" customHeight="true" outlineLevel="0" collapsed="false">
      <c r="A26" s="19" t="n">
        <v>45566</v>
      </c>
      <c r="B26" s="20" t="s">
        <v>19</v>
      </c>
      <c r="C26" s="20" t="s">
        <v>26</v>
      </c>
      <c r="D26" s="20" t="s">
        <v>28</v>
      </c>
      <c r="E26" s="21" t="n">
        <v>116.56</v>
      </c>
      <c r="F26" s="21" t="n">
        <v>18.75</v>
      </c>
      <c r="G26" s="20" t="n">
        <v>1</v>
      </c>
    </row>
    <row r="27" customFormat="false" ht="15" hidden="false" customHeight="true" outlineLevel="0" collapsed="false">
      <c r="A27" s="19" t="n">
        <v>45484</v>
      </c>
      <c r="B27" s="20" t="s">
        <v>23</v>
      </c>
      <c r="C27" s="20" t="s">
        <v>26</v>
      </c>
      <c r="D27" s="20" t="s">
        <v>24</v>
      </c>
      <c r="E27" s="21" t="n">
        <v>7098.2</v>
      </c>
      <c r="F27" s="21" t="n">
        <v>1335.61</v>
      </c>
      <c r="G27" s="20" t="n">
        <v>20</v>
      </c>
    </row>
    <row r="28" customFormat="false" ht="15" hidden="false" customHeight="true" outlineLevel="0" collapsed="false">
      <c r="A28" s="19" t="n">
        <v>45541</v>
      </c>
      <c r="B28" s="20" t="s">
        <v>31</v>
      </c>
      <c r="C28" s="20" t="s">
        <v>30</v>
      </c>
      <c r="D28" s="20" t="s">
        <v>24</v>
      </c>
      <c r="E28" s="21" t="n">
        <v>194.5</v>
      </c>
      <c r="F28" s="21" t="n">
        <v>46.07</v>
      </c>
      <c r="G28" s="20" t="n">
        <v>10</v>
      </c>
    </row>
    <row r="29" customFormat="false" ht="15" hidden="false" customHeight="true" outlineLevel="0" collapsed="false">
      <c r="A29" s="19" t="n">
        <v>45467</v>
      </c>
      <c r="B29" s="20" t="s">
        <v>27</v>
      </c>
      <c r="C29" s="20" t="s">
        <v>30</v>
      </c>
      <c r="D29" s="20" t="s">
        <v>28</v>
      </c>
      <c r="E29" s="21" t="n">
        <v>522.72</v>
      </c>
      <c r="F29" s="21" t="n">
        <v>163.26</v>
      </c>
      <c r="G29" s="20" t="n">
        <v>6</v>
      </c>
    </row>
    <row r="30" customFormat="false" ht="15" hidden="false" customHeight="true" outlineLevel="0" collapsed="false">
      <c r="A30" s="19" t="n">
        <v>45562</v>
      </c>
      <c r="B30" s="20" t="s">
        <v>27</v>
      </c>
      <c r="C30" s="20" t="s">
        <v>22</v>
      </c>
      <c r="D30" s="20" t="s">
        <v>28</v>
      </c>
      <c r="E30" s="21" t="n">
        <v>2499.12</v>
      </c>
      <c r="F30" s="21" t="n">
        <v>998.17</v>
      </c>
      <c r="G30" s="20" t="n">
        <v>18</v>
      </c>
    </row>
    <row r="31" customFormat="false" ht="15" hidden="false" customHeight="true" outlineLevel="0" collapsed="false">
      <c r="A31" s="19" t="n">
        <v>45444</v>
      </c>
      <c r="B31" s="20" t="s">
        <v>19</v>
      </c>
      <c r="C31" s="20" t="s">
        <v>26</v>
      </c>
      <c r="D31" s="20" t="s">
        <v>28</v>
      </c>
      <c r="E31" s="21" t="n">
        <v>6627.48</v>
      </c>
      <c r="F31" s="21" t="n">
        <v>1145.3</v>
      </c>
      <c r="G31" s="20" t="n">
        <v>12</v>
      </c>
    </row>
    <row r="32" customFormat="false" ht="15" hidden="false" customHeight="true" outlineLevel="0" collapsed="false">
      <c r="A32" s="19" t="n">
        <v>45406</v>
      </c>
      <c r="B32" s="20" t="s">
        <v>33</v>
      </c>
      <c r="C32" s="20" t="s">
        <v>26</v>
      </c>
      <c r="D32" s="20" t="s">
        <v>28</v>
      </c>
      <c r="E32" s="21" t="n">
        <v>407.92</v>
      </c>
      <c r="F32" s="21" t="n">
        <v>56.53</v>
      </c>
      <c r="G32" s="20" t="n">
        <v>8</v>
      </c>
    </row>
    <row r="33" customFormat="false" ht="15" hidden="false" customHeight="true" outlineLevel="0" collapsed="false">
      <c r="A33" s="19" t="n">
        <v>45391</v>
      </c>
      <c r="B33" s="20" t="s">
        <v>23</v>
      </c>
      <c r="C33" s="20" t="s">
        <v>30</v>
      </c>
      <c r="D33" s="20" t="s">
        <v>28</v>
      </c>
      <c r="E33" s="21" t="n">
        <v>1919.52</v>
      </c>
      <c r="F33" s="21" t="n">
        <v>431.48</v>
      </c>
      <c r="G33" s="20" t="n">
        <v>8</v>
      </c>
    </row>
    <row r="34" customFormat="false" ht="15" hidden="false" customHeight="true" outlineLevel="0" collapsed="false">
      <c r="A34" s="19" t="n">
        <v>45306</v>
      </c>
      <c r="B34" s="20" t="s">
        <v>19</v>
      </c>
      <c r="C34" s="20" t="s">
        <v>26</v>
      </c>
      <c r="D34" s="20" t="s">
        <v>24</v>
      </c>
      <c r="E34" s="21" t="n">
        <v>1626.3</v>
      </c>
      <c r="F34" s="21" t="n">
        <v>313.9</v>
      </c>
      <c r="G34" s="20" t="n">
        <v>9</v>
      </c>
    </row>
    <row r="35" customFormat="false" ht="15" hidden="false" customHeight="true" outlineLevel="0" collapsed="false">
      <c r="A35" s="19" t="n">
        <v>45468</v>
      </c>
      <c r="B35" s="20" t="s">
        <v>31</v>
      </c>
      <c r="C35" s="20" t="s">
        <v>26</v>
      </c>
      <c r="D35" s="20" t="s">
        <v>24</v>
      </c>
      <c r="E35" s="21" t="n">
        <v>102.75</v>
      </c>
      <c r="F35" s="21" t="n">
        <v>25.95</v>
      </c>
      <c r="G35" s="20" t="n">
        <v>3</v>
      </c>
    </row>
    <row r="36" customFormat="false" ht="15" hidden="false" customHeight="true" outlineLevel="0" collapsed="false">
      <c r="A36" s="19" t="n">
        <v>45392</v>
      </c>
      <c r="B36" s="20" t="s">
        <v>27</v>
      </c>
      <c r="C36" s="20" t="s">
        <v>22</v>
      </c>
      <c r="D36" s="20" t="s">
        <v>24</v>
      </c>
      <c r="E36" s="21" t="n">
        <v>2961.6</v>
      </c>
      <c r="F36" s="21" t="n">
        <v>1113.91</v>
      </c>
      <c r="G36" s="20" t="n">
        <v>20</v>
      </c>
    </row>
    <row r="37" customFormat="false" ht="15" hidden="false" customHeight="true" outlineLevel="0" collapsed="false">
      <c r="A37" s="19" t="n">
        <v>45292</v>
      </c>
      <c r="B37" s="20" t="s">
        <v>31</v>
      </c>
      <c r="C37" s="20" t="s">
        <v>26</v>
      </c>
      <c r="D37" s="20" t="s">
        <v>28</v>
      </c>
      <c r="E37" s="21" t="n">
        <v>305.43</v>
      </c>
      <c r="F37" s="21" t="n">
        <v>73.03</v>
      </c>
      <c r="G37" s="20" t="n">
        <v>3</v>
      </c>
    </row>
    <row r="38" customFormat="false" ht="15" hidden="false" customHeight="true" outlineLevel="0" collapsed="false">
      <c r="A38" s="19" t="n">
        <v>45490</v>
      </c>
      <c r="B38" s="20" t="s">
        <v>23</v>
      </c>
      <c r="C38" s="20" t="s">
        <v>30</v>
      </c>
      <c r="D38" s="20" t="s">
        <v>20</v>
      </c>
      <c r="E38" s="21" t="n">
        <v>9133.46</v>
      </c>
      <c r="F38" s="21" t="n">
        <v>1908.16</v>
      </c>
      <c r="G38" s="20" t="n">
        <v>14</v>
      </c>
    </row>
    <row r="39" customFormat="false" ht="15" hidden="false" customHeight="true" outlineLevel="0" collapsed="false">
      <c r="A39" s="19" t="n">
        <v>45494</v>
      </c>
      <c r="B39" s="20" t="s">
        <v>31</v>
      </c>
      <c r="C39" s="20" t="s">
        <v>30</v>
      </c>
      <c r="D39" s="20" t="s">
        <v>28</v>
      </c>
      <c r="E39" s="21" t="n">
        <v>269.19</v>
      </c>
      <c r="F39" s="21" t="n">
        <v>66.06</v>
      </c>
      <c r="G39" s="20" t="n">
        <v>3</v>
      </c>
    </row>
    <row r="40" customFormat="false" ht="15" hidden="false" customHeight="true" outlineLevel="0" collapsed="false">
      <c r="A40" s="19" t="n">
        <v>45357</v>
      </c>
      <c r="B40" s="20" t="s">
        <v>19</v>
      </c>
      <c r="C40" s="20" t="s">
        <v>22</v>
      </c>
      <c r="D40" s="20" t="s">
        <v>28</v>
      </c>
      <c r="E40" s="21" t="n">
        <v>7490.7</v>
      </c>
      <c r="F40" s="21" t="n">
        <v>1167.35</v>
      </c>
      <c r="G40" s="20" t="n">
        <v>15</v>
      </c>
    </row>
    <row r="41" customFormat="false" ht="15" hidden="false" customHeight="true" outlineLevel="0" collapsed="false">
      <c r="A41" s="19" t="n">
        <v>45597</v>
      </c>
      <c r="B41" s="20" t="s">
        <v>31</v>
      </c>
      <c r="C41" s="20" t="s">
        <v>26</v>
      </c>
      <c r="D41" s="20" t="s">
        <v>20</v>
      </c>
      <c r="E41" s="21" t="n">
        <v>1265.58</v>
      </c>
      <c r="F41" s="21" t="n">
        <v>286.9</v>
      </c>
      <c r="G41" s="20" t="n">
        <v>18</v>
      </c>
    </row>
    <row r="42" customFormat="false" ht="15" hidden="false" customHeight="true" outlineLevel="0" collapsed="false">
      <c r="A42" s="19" t="n">
        <v>45624</v>
      </c>
      <c r="B42" s="20" t="s">
        <v>19</v>
      </c>
      <c r="C42" s="20" t="s">
        <v>22</v>
      </c>
      <c r="D42" s="20" t="s">
        <v>24</v>
      </c>
      <c r="E42" s="21" t="n">
        <v>3567.2</v>
      </c>
      <c r="F42" s="21" t="n">
        <v>574.66</v>
      </c>
      <c r="G42" s="20" t="n">
        <v>7</v>
      </c>
    </row>
    <row r="43" customFormat="false" ht="15" hidden="false" customHeight="true" outlineLevel="0" collapsed="false">
      <c r="A43" s="19" t="n">
        <v>45420</v>
      </c>
      <c r="B43" s="20" t="s">
        <v>23</v>
      </c>
      <c r="C43" s="20" t="s">
        <v>26</v>
      </c>
      <c r="D43" s="20" t="s">
        <v>28</v>
      </c>
      <c r="E43" s="21" t="n">
        <v>5076.64</v>
      </c>
      <c r="F43" s="21" t="n">
        <v>1057.33</v>
      </c>
      <c r="G43" s="20" t="n">
        <v>8</v>
      </c>
    </row>
    <row r="44" customFormat="false" ht="15" hidden="false" customHeight="true" outlineLevel="0" collapsed="false">
      <c r="A44" s="19" t="n">
        <v>45570</v>
      </c>
      <c r="B44" s="20" t="s">
        <v>31</v>
      </c>
      <c r="C44" s="20" t="s">
        <v>22</v>
      </c>
      <c r="D44" s="20" t="s">
        <v>20</v>
      </c>
      <c r="E44" s="21" t="n">
        <v>1174.08</v>
      </c>
      <c r="F44" s="21" t="n">
        <v>330.77</v>
      </c>
      <c r="G44" s="20" t="n">
        <v>24</v>
      </c>
    </row>
    <row r="45" customFormat="false" ht="15" hidden="false" customHeight="true" outlineLevel="0" collapsed="false">
      <c r="A45" s="19" t="n">
        <v>45590</v>
      </c>
      <c r="B45" s="20" t="s">
        <v>33</v>
      </c>
      <c r="C45" s="20" t="s">
        <v>30</v>
      </c>
      <c r="D45" s="20" t="s">
        <v>28</v>
      </c>
      <c r="E45" s="21" t="n">
        <v>224.45</v>
      </c>
      <c r="F45" s="21" t="n">
        <v>27.89</v>
      </c>
      <c r="G45" s="20" t="n">
        <v>5</v>
      </c>
    </row>
    <row r="46" customFormat="false" ht="15" hidden="false" customHeight="true" outlineLevel="0" collapsed="false">
      <c r="A46" s="19" t="n">
        <v>45301</v>
      </c>
      <c r="B46" s="20" t="s">
        <v>31</v>
      </c>
      <c r="C46" s="20" t="s">
        <v>22</v>
      </c>
      <c r="D46" s="20" t="s">
        <v>28</v>
      </c>
      <c r="E46" s="21" t="n">
        <v>95.36</v>
      </c>
      <c r="F46" s="21" t="n">
        <v>23.16</v>
      </c>
      <c r="G46" s="20" t="n">
        <v>1</v>
      </c>
    </row>
    <row r="47" customFormat="false" ht="15" hidden="false" customHeight="true" outlineLevel="0" collapsed="false">
      <c r="A47" s="19" t="n">
        <v>45364</v>
      </c>
      <c r="B47" s="20" t="s">
        <v>31</v>
      </c>
      <c r="C47" s="20" t="s">
        <v>18</v>
      </c>
      <c r="D47" s="20" t="s">
        <v>28</v>
      </c>
      <c r="E47" s="21" t="n">
        <v>91.72</v>
      </c>
      <c r="F47" s="21" t="n">
        <v>26.54</v>
      </c>
      <c r="G47" s="20" t="n">
        <v>2</v>
      </c>
    </row>
    <row r="48" customFormat="false" ht="15" hidden="false" customHeight="true" outlineLevel="0" collapsed="false">
      <c r="A48" s="19" t="n">
        <v>45576</v>
      </c>
      <c r="B48" s="20" t="s">
        <v>31</v>
      </c>
      <c r="C48" s="20" t="s">
        <v>18</v>
      </c>
      <c r="D48" s="20" t="s">
        <v>28</v>
      </c>
      <c r="E48" s="21" t="n">
        <v>74.66</v>
      </c>
      <c r="F48" s="21" t="n">
        <v>19.33</v>
      </c>
      <c r="G48" s="20" t="n">
        <v>2</v>
      </c>
    </row>
    <row r="49" customFormat="false" ht="15" hidden="false" customHeight="true" outlineLevel="0" collapsed="false">
      <c r="A49" s="19" t="n">
        <v>45342</v>
      </c>
      <c r="B49" s="20" t="s">
        <v>33</v>
      </c>
      <c r="C49" s="20" t="s">
        <v>30</v>
      </c>
      <c r="D49" s="20" t="s">
        <v>28</v>
      </c>
      <c r="E49" s="21" t="n">
        <v>62</v>
      </c>
      <c r="F49" s="21" t="n">
        <v>9.01</v>
      </c>
      <c r="G49" s="20" t="n">
        <v>1</v>
      </c>
    </row>
    <row r="50" customFormat="false" ht="15" hidden="false" customHeight="true" outlineLevel="0" collapsed="false">
      <c r="A50" s="19" t="n">
        <v>45518</v>
      </c>
      <c r="B50" s="20" t="s">
        <v>27</v>
      </c>
      <c r="C50" s="20" t="s">
        <v>22</v>
      </c>
      <c r="D50" s="20" t="s">
        <v>28</v>
      </c>
      <c r="E50" s="21" t="n">
        <v>709.2</v>
      </c>
      <c r="F50" s="21" t="n">
        <v>258.14</v>
      </c>
      <c r="G50" s="20" t="n">
        <v>9</v>
      </c>
    </row>
    <row r="51" customFormat="false" ht="15" hidden="false" customHeight="true" outlineLevel="0" collapsed="false">
      <c r="A51" s="19" t="n">
        <v>45536</v>
      </c>
      <c r="B51" s="20" t="s">
        <v>33</v>
      </c>
      <c r="C51" s="20" t="s">
        <v>22</v>
      </c>
      <c r="D51" s="20" t="s">
        <v>28</v>
      </c>
      <c r="E51" s="21" t="n">
        <v>1202.58</v>
      </c>
      <c r="F51" s="21" t="n">
        <v>176.63</v>
      </c>
      <c r="G51" s="20" t="n">
        <v>17</v>
      </c>
    </row>
    <row r="52" customFormat="false" ht="15" hidden="false" customHeight="true" outlineLevel="0" collapsed="false">
      <c r="A52" s="19" t="n">
        <v>45424</v>
      </c>
      <c r="B52" s="20" t="s">
        <v>33</v>
      </c>
      <c r="C52" s="20" t="s">
        <v>22</v>
      </c>
      <c r="D52" s="20" t="s">
        <v>24</v>
      </c>
      <c r="E52" s="21" t="n">
        <v>181.25</v>
      </c>
      <c r="F52" s="21" t="n">
        <v>21.24</v>
      </c>
      <c r="G52" s="20" t="n">
        <v>5</v>
      </c>
    </row>
    <row r="53" customFormat="false" ht="15" hidden="false" customHeight="true" outlineLevel="0" collapsed="false">
      <c r="A53" s="19" t="n">
        <v>45453</v>
      </c>
      <c r="B53" s="20" t="s">
        <v>19</v>
      </c>
      <c r="C53" s="20" t="s">
        <v>22</v>
      </c>
      <c r="D53" s="20" t="s">
        <v>24</v>
      </c>
      <c r="E53" s="21" t="n">
        <v>571.8</v>
      </c>
      <c r="F53" s="21" t="n">
        <v>96.36</v>
      </c>
      <c r="G53" s="20" t="n">
        <v>3</v>
      </c>
    </row>
    <row r="54" customFormat="false" ht="15" hidden="false" customHeight="true" outlineLevel="0" collapsed="false">
      <c r="A54" s="19" t="n">
        <v>45354</v>
      </c>
      <c r="B54" s="20" t="s">
        <v>23</v>
      </c>
      <c r="C54" s="20" t="s">
        <v>26</v>
      </c>
      <c r="D54" s="20" t="s">
        <v>20</v>
      </c>
      <c r="E54" s="21" t="n">
        <v>6461.82</v>
      </c>
      <c r="F54" s="21" t="n">
        <v>1756.24</v>
      </c>
      <c r="G54" s="20" t="n">
        <v>9</v>
      </c>
    </row>
    <row r="55" customFormat="false" ht="15" hidden="false" customHeight="true" outlineLevel="0" collapsed="false">
      <c r="A55" s="19" t="n">
        <v>45404</v>
      </c>
      <c r="B55" s="20" t="s">
        <v>19</v>
      </c>
      <c r="C55" s="20" t="s">
        <v>30</v>
      </c>
      <c r="D55" s="20" t="s">
        <v>24</v>
      </c>
      <c r="E55" s="21" t="n">
        <v>3568.38</v>
      </c>
      <c r="F55" s="21" t="n">
        <v>754.46</v>
      </c>
      <c r="G55" s="20" t="n">
        <v>6</v>
      </c>
    </row>
    <row r="56" customFormat="false" ht="15" hidden="false" customHeight="true" outlineLevel="0" collapsed="false">
      <c r="A56" s="19" t="n">
        <v>45374</v>
      </c>
      <c r="B56" s="20" t="s">
        <v>31</v>
      </c>
      <c r="C56" s="20" t="s">
        <v>30</v>
      </c>
      <c r="D56" s="20" t="s">
        <v>24</v>
      </c>
      <c r="E56" s="21" t="n">
        <v>441.42</v>
      </c>
      <c r="F56" s="21" t="n">
        <v>116.59</v>
      </c>
      <c r="G56" s="20" t="n">
        <v>14</v>
      </c>
    </row>
    <row r="57" customFormat="false" ht="15" hidden="false" customHeight="true" outlineLevel="0" collapsed="false">
      <c r="A57" s="19" t="n">
        <v>45479</v>
      </c>
      <c r="B57" s="20" t="s">
        <v>19</v>
      </c>
      <c r="C57" s="20" t="s">
        <v>26</v>
      </c>
      <c r="D57" s="20" t="s">
        <v>28</v>
      </c>
      <c r="E57" s="21" t="n">
        <v>4635.6</v>
      </c>
      <c r="F57" s="21" t="n">
        <v>674.32</v>
      </c>
      <c r="G57" s="20" t="n">
        <v>15</v>
      </c>
    </row>
    <row r="58" customFormat="false" ht="15" hidden="false" customHeight="true" outlineLevel="0" collapsed="false">
      <c r="A58" s="19" t="n">
        <v>45461</v>
      </c>
      <c r="B58" s="20" t="s">
        <v>33</v>
      </c>
      <c r="C58" s="20" t="s">
        <v>26</v>
      </c>
      <c r="D58" s="20" t="s">
        <v>28</v>
      </c>
      <c r="E58" s="21" t="n">
        <v>40.38</v>
      </c>
      <c r="F58" s="21" t="n">
        <v>5.88</v>
      </c>
      <c r="G58" s="20" t="n">
        <v>3</v>
      </c>
    </row>
    <row r="59" customFormat="false" ht="15" hidden="false" customHeight="true" outlineLevel="0" collapsed="false">
      <c r="A59" s="19" t="n">
        <v>45409</v>
      </c>
      <c r="B59" s="20" t="s">
        <v>19</v>
      </c>
      <c r="C59" s="20" t="s">
        <v>18</v>
      </c>
      <c r="D59" s="20" t="s">
        <v>24</v>
      </c>
      <c r="E59" s="21" t="n">
        <v>905.31</v>
      </c>
      <c r="F59" s="21" t="n">
        <v>187.49</v>
      </c>
      <c r="G59" s="20" t="n">
        <v>9</v>
      </c>
    </row>
    <row r="60" customFormat="false" ht="15" hidden="false" customHeight="true" outlineLevel="0" collapsed="false">
      <c r="A60" s="19" t="n">
        <v>45430</v>
      </c>
      <c r="B60" s="20" t="s">
        <v>23</v>
      </c>
      <c r="C60" s="20" t="s">
        <v>30</v>
      </c>
      <c r="D60" s="20" t="s">
        <v>28</v>
      </c>
      <c r="E60" s="21" t="n">
        <v>3457.44</v>
      </c>
      <c r="F60" s="21" t="n">
        <v>792.18</v>
      </c>
      <c r="G60" s="20" t="n">
        <v>9</v>
      </c>
    </row>
    <row r="61" customFormat="false" ht="15" hidden="false" customHeight="true" outlineLevel="0" collapsed="false">
      <c r="A61" s="19" t="n">
        <v>45555</v>
      </c>
      <c r="B61" s="20" t="s">
        <v>33</v>
      </c>
      <c r="C61" s="20" t="s">
        <v>30</v>
      </c>
      <c r="D61" s="20" t="s">
        <v>28</v>
      </c>
      <c r="E61" s="21" t="n">
        <v>128.81</v>
      </c>
      <c r="F61" s="21" t="n">
        <v>12.77</v>
      </c>
      <c r="G61" s="20" t="n">
        <v>11</v>
      </c>
    </row>
    <row r="62" customFormat="false" ht="15" hidden="false" customHeight="true" outlineLevel="0" collapsed="false">
      <c r="A62" s="19" t="n">
        <v>45644</v>
      </c>
      <c r="B62" s="20" t="s">
        <v>23</v>
      </c>
      <c r="C62" s="20" t="s">
        <v>30</v>
      </c>
      <c r="D62" s="20" t="s">
        <v>20</v>
      </c>
      <c r="E62" s="21" t="n">
        <v>6811.56</v>
      </c>
      <c r="F62" s="21" t="n">
        <v>1626.67</v>
      </c>
      <c r="G62" s="20" t="n">
        <v>9</v>
      </c>
    </row>
    <row r="63" customFormat="false" ht="15" hidden="false" customHeight="true" outlineLevel="0" collapsed="false">
      <c r="A63" s="19" t="n">
        <v>45425</v>
      </c>
      <c r="B63" s="20" t="s">
        <v>19</v>
      </c>
      <c r="C63" s="20" t="s">
        <v>22</v>
      </c>
      <c r="D63" s="20" t="s">
        <v>20</v>
      </c>
      <c r="E63" s="21" t="n">
        <v>4757.76</v>
      </c>
      <c r="F63" s="21" t="n">
        <v>859.99</v>
      </c>
      <c r="G63" s="20" t="n">
        <v>9</v>
      </c>
    </row>
    <row r="64" customFormat="false" ht="15" hidden="false" customHeight="true" outlineLevel="0" collapsed="false">
      <c r="A64" s="19" t="n">
        <v>45465</v>
      </c>
      <c r="B64" s="20" t="s">
        <v>33</v>
      </c>
      <c r="C64" s="20" t="s">
        <v>30</v>
      </c>
      <c r="D64" s="20" t="s">
        <v>24</v>
      </c>
      <c r="E64" s="21" t="n">
        <v>293.8</v>
      </c>
      <c r="F64" s="21" t="n">
        <v>36.56</v>
      </c>
      <c r="G64" s="20" t="n">
        <v>20</v>
      </c>
    </row>
    <row r="65" customFormat="false" ht="15" hidden="false" customHeight="true" outlineLevel="0" collapsed="false">
      <c r="A65" s="19" t="n">
        <v>45414</v>
      </c>
      <c r="B65" s="20" t="s">
        <v>19</v>
      </c>
      <c r="C65" s="20" t="s">
        <v>22</v>
      </c>
      <c r="D65" s="20" t="s">
        <v>24</v>
      </c>
      <c r="E65" s="21" t="n">
        <v>348.4</v>
      </c>
      <c r="F65" s="21" t="n">
        <v>76.48</v>
      </c>
      <c r="G65" s="20" t="n">
        <v>2</v>
      </c>
    </row>
    <row r="66" customFormat="false" ht="15" hidden="false" customHeight="true" outlineLevel="0" collapsed="false">
      <c r="A66" s="19" t="n">
        <v>45613</v>
      </c>
      <c r="B66" s="20" t="s">
        <v>27</v>
      </c>
      <c r="C66" s="20" t="s">
        <v>22</v>
      </c>
      <c r="D66" s="20" t="s">
        <v>24</v>
      </c>
      <c r="E66" s="21" t="n">
        <v>1275.15</v>
      </c>
      <c r="F66" s="21" t="n">
        <v>392.77</v>
      </c>
      <c r="G66" s="20" t="n">
        <v>15</v>
      </c>
    </row>
    <row r="67" customFormat="false" ht="15" hidden="false" customHeight="true" outlineLevel="0" collapsed="false">
      <c r="A67" s="19" t="n">
        <v>45469</v>
      </c>
      <c r="B67" s="20" t="s">
        <v>19</v>
      </c>
      <c r="C67" s="20" t="s">
        <v>26</v>
      </c>
      <c r="D67" s="20" t="s">
        <v>20</v>
      </c>
      <c r="E67" s="21" t="n">
        <v>89.59</v>
      </c>
      <c r="F67" s="21" t="n">
        <v>16.57</v>
      </c>
      <c r="G67" s="20" t="n">
        <v>1</v>
      </c>
    </row>
    <row r="68" customFormat="false" ht="15" hidden="false" customHeight="true" outlineLevel="0" collapsed="false">
      <c r="A68" s="19" t="n">
        <v>45389</v>
      </c>
      <c r="B68" s="20" t="s">
        <v>33</v>
      </c>
      <c r="C68" s="20" t="s">
        <v>30</v>
      </c>
      <c r="D68" s="20" t="s">
        <v>20</v>
      </c>
      <c r="E68" s="21" t="n">
        <v>194.55</v>
      </c>
      <c r="F68" s="21" t="n">
        <v>27.28</v>
      </c>
      <c r="G68" s="20" t="n">
        <v>15</v>
      </c>
    </row>
    <row r="69" customFormat="false" ht="15" hidden="false" customHeight="true" outlineLevel="0" collapsed="false">
      <c r="A69" s="19" t="n">
        <v>45513</v>
      </c>
      <c r="B69" s="20" t="s">
        <v>31</v>
      </c>
      <c r="C69" s="20" t="s">
        <v>30</v>
      </c>
      <c r="D69" s="20" t="s">
        <v>28</v>
      </c>
      <c r="E69" s="21" t="n">
        <v>856.5</v>
      </c>
      <c r="F69" s="21" t="n">
        <v>297.88</v>
      </c>
      <c r="G69" s="20" t="n">
        <v>10</v>
      </c>
    </row>
    <row r="70" customFormat="false" ht="15" hidden="false" customHeight="true" outlineLevel="0" collapsed="false">
      <c r="A70" s="19" t="n">
        <v>45467</v>
      </c>
      <c r="B70" s="20" t="s">
        <v>23</v>
      </c>
      <c r="C70" s="20" t="s">
        <v>22</v>
      </c>
      <c r="D70" s="20" t="s">
        <v>24</v>
      </c>
      <c r="E70" s="21" t="n">
        <v>9447.84</v>
      </c>
      <c r="F70" s="21" t="n">
        <v>2445.69</v>
      </c>
      <c r="G70" s="20" t="n">
        <v>12</v>
      </c>
    </row>
    <row r="71" customFormat="false" ht="15" hidden="false" customHeight="true" outlineLevel="0" collapsed="false">
      <c r="A71" s="19" t="n">
        <v>45299</v>
      </c>
      <c r="B71" s="20" t="s">
        <v>19</v>
      </c>
      <c r="C71" s="20" t="s">
        <v>26</v>
      </c>
      <c r="D71" s="20" t="s">
        <v>24</v>
      </c>
      <c r="E71" s="21" t="n">
        <v>652.86</v>
      </c>
      <c r="F71" s="21" t="n">
        <v>129.19</v>
      </c>
      <c r="G71" s="20" t="n">
        <v>6</v>
      </c>
    </row>
    <row r="72" customFormat="false" ht="15" hidden="false" customHeight="true" outlineLevel="0" collapsed="false">
      <c r="A72" s="19" t="n">
        <v>45487</v>
      </c>
      <c r="B72" s="20" t="s">
        <v>33</v>
      </c>
      <c r="C72" s="20" t="s">
        <v>26</v>
      </c>
      <c r="D72" s="20" t="s">
        <v>28</v>
      </c>
      <c r="E72" s="21" t="n">
        <v>455.6</v>
      </c>
      <c r="F72" s="21" t="n">
        <v>44.85</v>
      </c>
      <c r="G72" s="20" t="n">
        <v>8</v>
      </c>
    </row>
    <row r="73" customFormat="false" ht="15" hidden="false" customHeight="true" outlineLevel="0" collapsed="false">
      <c r="A73" s="19" t="n">
        <v>45386</v>
      </c>
      <c r="B73" s="20" t="s">
        <v>23</v>
      </c>
      <c r="C73" s="20" t="s">
        <v>26</v>
      </c>
      <c r="D73" s="20" t="s">
        <v>24</v>
      </c>
      <c r="E73" s="21" t="n">
        <v>284.27</v>
      </c>
      <c r="F73" s="21" t="n">
        <v>77.1</v>
      </c>
      <c r="G73" s="20" t="n">
        <v>1</v>
      </c>
    </row>
    <row r="74" customFormat="false" ht="15" hidden="false" customHeight="true" outlineLevel="0" collapsed="false">
      <c r="A74" s="19" t="n">
        <v>45572</v>
      </c>
      <c r="B74" s="20" t="s">
        <v>27</v>
      </c>
      <c r="C74" s="20" t="s">
        <v>22</v>
      </c>
      <c r="D74" s="20" t="s">
        <v>20</v>
      </c>
      <c r="E74" s="21" t="n">
        <v>483.2</v>
      </c>
      <c r="F74" s="21" t="n">
        <v>149.22</v>
      </c>
      <c r="G74" s="20" t="n">
        <v>10</v>
      </c>
    </row>
    <row r="75" customFormat="false" ht="15" hidden="false" customHeight="true" outlineLevel="0" collapsed="false">
      <c r="A75" s="19" t="n">
        <v>45463</v>
      </c>
      <c r="B75" s="20" t="s">
        <v>31</v>
      </c>
      <c r="C75" s="20" t="s">
        <v>18</v>
      </c>
      <c r="D75" s="20" t="s">
        <v>24</v>
      </c>
      <c r="E75" s="21" t="n">
        <v>587.7</v>
      </c>
      <c r="F75" s="21" t="n">
        <v>146.53</v>
      </c>
      <c r="G75" s="20" t="n">
        <v>9</v>
      </c>
    </row>
    <row r="76" customFormat="false" ht="15" hidden="false" customHeight="true" outlineLevel="0" collapsed="false">
      <c r="A76" s="19" t="n">
        <v>45550</v>
      </c>
      <c r="B76" s="20" t="s">
        <v>19</v>
      </c>
      <c r="C76" s="20" t="s">
        <v>18</v>
      </c>
      <c r="D76" s="20" t="s">
        <v>24</v>
      </c>
      <c r="E76" s="21" t="n">
        <v>464.43</v>
      </c>
      <c r="F76" s="21" t="n">
        <v>88.95</v>
      </c>
      <c r="G76" s="20" t="n">
        <v>3</v>
      </c>
    </row>
    <row r="77" customFormat="false" ht="15" hidden="false" customHeight="true" outlineLevel="0" collapsed="false">
      <c r="A77" s="19" t="n">
        <v>45493</v>
      </c>
      <c r="B77" s="20" t="s">
        <v>19</v>
      </c>
      <c r="C77" s="20" t="s">
        <v>26</v>
      </c>
      <c r="D77" s="20" t="s">
        <v>24</v>
      </c>
      <c r="E77" s="21" t="n">
        <v>4222.26</v>
      </c>
      <c r="F77" s="21" t="n">
        <v>808.28</v>
      </c>
      <c r="G77" s="20" t="n">
        <v>21</v>
      </c>
    </row>
    <row r="78" customFormat="false" ht="15" hidden="false" customHeight="true" outlineLevel="0" collapsed="false">
      <c r="A78" s="19" t="n">
        <v>45562</v>
      </c>
      <c r="B78" s="20" t="s">
        <v>23</v>
      </c>
      <c r="C78" s="20" t="s">
        <v>30</v>
      </c>
      <c r="D78" s="20" t="s">
        <v>24</v>
      </c>
      <c r="E78" s="21" t="n">
        <v>18943.44</v>
      </c>
      <c r="F78" s="21" t="n">
        <v>3614.35</v>
      </c>
      <c r="G78" s="20" t="n">
        <v>24</v>
      </c>
    </row>
    <row r="79" customFormat="false" ht="15" hidden="false" customHeight="true" outlineLevel="0" collapsed="false">
      <c r="A79" s="19" t="n">
        <v>45608</v>
      </c>
      <c r="B79" s="20" t="s">
        <v>23</v>
      </c>
      <c r="C79" s="20" t="s">
        <v>18</v>
      </c>
      <c r="D79" s="20" t="s">
        <v>28</v>
      </c>
      <c r="E79" s="21" t="n">
        <v>9165.21</v>
      </c>
      <c r="F79" s="21" t="n">
        <v>2278.94</v>
      </c>
      <c r="G79" s="20" t="n">
        <v>17</v>
      </c>
    </row>
    <row r="80" customFormat="false" ht="15" hidden="false" customHeight="true" outlineLevel="0" collapsed="false">
      <c r="A80" s="19" t="n">
        <v>45550</v>
      </c>
      <c r="B80" s="20" t="s">
        <v>23</v>
      </c>
      <c r="C80" s="20" t="s">
        <v>18</v>
      </c>
      <c r="D80" s="20" t="s">
        <v>28</v>
      </c>
      <c r="E80" s="21" t="n">
        <v>12513.02</v>
      </c>
      <c r="F80" s="21" t="n">
        <v>3083.3</v>
      </c>
      <c r="G80" s="20" t="n">
        <v>19</v>
      </c>
    </row>
    <row r="81" customFormat="false" ht="15" hidden="false" customHeight="true" outlineLevel="0" collapsed="false">
      <c r="A81" s="19" t="n">
        <v>45646</v>
      </c>
      <c r="B81" s="20" t="s">
        <v>23</v>
      </c>
      <c r="C81" s="20" t="s">
        <v>18</v>
      </c>
      <c r="D81" s="20" t="s">
        <v>20</v>
      </c>
      <c r="E81" s="21" t="n">
        <v>386.34</v>
      </c>
      <c r="F81" s="21" t="n">
        <v>81.79</v>
      </c>
      <c r="G81" s="20" t="n">
        <v>2</v>
      </c>
    </row>
    <row r="82" customFormat="false" ht="15" hidden="false" customHeight="true" outlineLevel="0" collapsed="false">
      <c r="A82" s="19" t="n">
        <v>45345</v>
      </c>
      <c r="B82" s="20" t="s">
        <v>31</v>
      </c>
      <c r="C82" s="20" t="s">
        <v>30</v>
      </c>
      <c r="D82" s="20" t="s">
        <v>28</v>
      </c>
      <c r="E82" s="21" t="n">
        <v>158.1</v>
      </c>
      <c r="F82" s="21" t="n">
        <v>47.89</v>
      </c>
      <c r="G82" s="20" t="n">
        <v>2</v>
      </c>
    </row>
    <row r="83" customFormat="false" ht="15" hidden="false" customHeight="true" outlineLevel="0" collapsed="false">
      <c r="A83" s="19" t="n">
        <v>45640</v>
      </c>
      <c r="B83" s="20" t="s">
        <v>23</v>
      </c>
      <c r="C83" s="20" t="s">
        <v>30</v>
      </c>
      <c r="D83" s="20" t="s">
        <v>24</v>
      </c>
      <c r="E83" s="21" t="n">
        <v>419.86</v>
      </c>
      <c r="F83" s="21" t="n">
        <v>76.81</v>
      </c>
      <c r="G83" s="20" t="n">
        <v>1</v>
      </c>
    </row>
    <row r="84" customFormat="false" ht="15" hidden="false" customHeight="true" outlineLevel="0" collapsed="false">
      <c r="A84" s="19" t="n">
        <v>45549</v>
      </c>
      <c r="B84" s="20" t="s">
        <v>33</v>
      </c>
      <c r="C84" s="20" t="s">
        <v>18</v>
      </c>
      <c r="D84" s="20" t="s">
        <v>28</v>
      </c>
      <c r="E84" s="21" t="n">
        <v>169.15</v>
      </c>
      <c r="F84" s="21" t="n">
        <v>22.97</v>
      </c>
      <c r="G84" s="20" t="n">
        <v>17</v>
      </c>
    </row>
    <row r="85" customFormat="false" ht="15" hidden="false" customHeight="true" outlineLevel="0" collapsed="false">
      <c r="A85" s="19" t="n">
        <v>45421</v>
      </c>
      <c r="B85" s="20" t="s">
        <v>19</v>
      </c>
      <c r="C85" s="20" t="s">
        <v>26</v>
      </c>
      <c r="D85" s="20" t="s">
        <v>20</v>
      </c>
      <c r="E85" s="21" t="n">
        <v>11360.4</v>
      </c>
      <c r="F85" s="21" t="n">
        <v>1848.22</v>
      </c>
      <c r="G85" s="20" t="n">
        <v>24</v>
      </c>
    </row>
    <row r="86" customFormat="false" ht="15" hidden="false" customHeight="true" outlineLevel="0" collapsed="false">
      <c r="A86" s="19" t="n">
        <v>45624</v>
      </c>
      <c r="B86" s="20" t="s">
        <v>31</v>
      </c>
      <c r="C86" s="20" t="s">
        <v>30</v>
      </c>
      <c r="D86" s="20" t="s">
        <v>24</v>
      </c>
      <c r="E86" s="21" t="n">
        <v>188.07</v>
      </c>
      <c r="F86" s="21" t="n">
        <v>58.33</v>
      </c>
      <c r="G86" s="20" t="n">
        <v>3</v>
      </c>
    </row>
    <row r="87" customFormat="false" ht="15" hidden="false" customHeight="true" outlineLevel="0" collapsed="false">
      <c r="A87" s="19" t="n">
        <v>45315</v>
      </c>
      <c r="B87" s="20" t="s">
        <v>33</v>
      </c>
      <c r="C87" s="20" t="s">
        <v>22</v>
      </c>
      <c r="D87" s="20" t="s">
        <v>20</v>
      </c>
      <c r="E87" s="21" t="n">
        <v>321.2</v>
      </c>
      <c r="F87" s="21" t="n">
        <v>35.24</v>
      </c>
      <c r="G87" s="20" t="n">
        <v>20</v>
      </c>
    </row>
    <row r="88" customFormat="false" ht="15" hidden="false" customHeight="true" outlineLevel="0" collapsed="false">
      <c r="A88" s="19" t="n">
        <v>45646</v>
      </c>
      <c r="B88" s="20" t="s">
        <v>27</v>
      </c>
      <c r="C88" s="20" t="s">
        <v>22</v>
      </c>
      <c r="D88" s="20" t="s">
        <v>20</v>
      </c>
      <c r="E88" s="21" t="n">
        <v>446.24</v>
      </c>
      <c r="F88" s="21" t="n">
        <v>143.84</v>
      </c>
      <c r="G88" s="20" t="n">
        <v>16</v>
      </c>
    </row>
    <row r="89" customFormat="false" ht="15" hidden="false" customHeight="true" outlineLevel="0" collapsed="false">
      <c r="A89" s="19" t="n">
        <v>45636</v>
      </c>
      <c r="B89" s="20" t="s">
        <v>19</v>
      </c>
      <c r="C89" s="20" t="s">
        <v>22</v>
      </c>
      <c r="D89" s="20" t="s">
        <v>28</v>
      </c>
      <c r="E89" s="21" t="n">
        <v>3700</v>
      </c>
      <c r="F89" s="21" t="n">
        <v>687.61</v>
      </c>
      <c r="G89" s="20" t="n">
        <v>16</v>
      </c>
    </row>
    <row r="90" customFormat="false" ht="15" hidden="false" customHeight="true" outlineLevel="0" collapsed="false">
      <c r="A90" s="19" t="n">
        <v>45529</v>
      </c>
      <c r="B90" s="20" t="s">
        <v>31</v>
      </c>
      <c r="C90" s="20" t="s">
        <v>30</v>
      </c>
      <c r="D90" s="20" t="s">
        <v>20</v>
      </c>
      <c r="E90" s="21" t="n">
        <v>574.56</v>
      </c>
      <c r="F90" s="21" t="n">
        <v>199.51</v>
      </c>
      <c r="G90" s="20" t="n">
        <v>18</v>
      </c>
    </row>
    <row r="91" customFormat="false" ht="15" hidden="false" customHeight="true" outlineLevel="0" collapsed="false">
      <c r="A91" s="19" t="n">
        <v>45534</v>
      </c>
      <c r="B91" s="20" t="s">
        <v>19</v>
      </c>
      <c r="C91" s="20" t="s">
        <v>26</v>
      </c>
      <c r="D91" s="20" t="s">
        <v>24</v>
      </c>
      <c r="E91" s="21" t="n">
        <v>1519.05</v>
      </c>
      <c r="F91" s="21" t="n">
        <v>337.86</v>
      </c>
      <c r="G91" s="20" t="n">
        <v>3</v>
      </c>
    </row>
    <row r="92" customFormat="false" ht="15" hidden="false" customHeight="true" outlineLevel="0" collapsed="false">
      <c r="A92" s="19" t="n">
        <v>45522</v>
      </c>
      <c r="B92" s="20" t="s">
        <v>27</v>
      </c>
      <c r="C92" s="20" t="s">
        <v>30</v>
      </c>
      <c r="D92" s="20" t="s">
        <v>20</v>
      </c>
      <c r="E92" s="21" t="n">
        <v>207.9</v>
      </c>
      <c r="F92" s="21" t="n">
        <v>61.17</v>
      </c>
      <c r="G92" s="20" t="n">
        <v>7</v>
      </c>
    </row>
    <row r="93" customFormat="false" ht="15" hidden="false" customHeight="true" outlineLevel="0" collapsed="false">
      <c r="A93" s="19" t="n">
        <v>45560</v>
      </c>
      <c r="B93" s="20" t="s">
        <v>27</v>
      </c>
      <c r="C93" s="20" t="s">
        <v>26</v>
      </c>
      <c r="D93" s="20" t="s">
        <v>20</v>
      </c>
      <c r="E93" s="21" t="n">
        <v>2532.6</v>
      </c>
      <c r="F93" s="21" t="n">
        <v>912.06</v>
      </c>
      <c r="G93" s="20" t="n">
        <v>20</v>
      </c>
    </row>
    <row r="94" customFormat="false" ht="15" hidden="false" customHeight="true" outlineLevel="0" collapsed="false">
      <c r="A94" s="19" t="n">
        <v>45349</v>
      </c>
      <c r="B94" s="20" t="s">
        <v>27</v>
      </c>
      <c r="C94" s="20" t="s">
        <v>22</v>
      </c>
      <c r="D94" s="20" t="s">
        <v>24</v>
      </c>
      <c r="E94" s="21" t="n">
        <v>1139.68</v>
      </c>
      <c r="F94" s="21" t="n">
        <v>347.66</v>
      </c>
      <c r="G94" s="20" t="n">
        <v>16</v>
      </c>
    </row>
    <row r="95" customFormat="false" ht="15" hidden="false" customHeight="true" outlineLevel="0" collapsed="false">
      <c r="A95" s="19" t="n">
        <v>45543</v>
      </c>
      <c r="B95" s="20" t="s">
        <v>31</v>
      </c>
      <c r="C95" s="20" t="s">
        <v>30</v>
      </c>
      <c r="D95" s="20" t="s">
        <v>24</v>
      </c>
      <c r="E95" s="21" t="n">
        <v>611.52</v>
      </c>
      <c r="F95" s="21" t="n">
        <v>163.48</v>
      </c>
      <c r="G95" s="20" t="n">
        <v>24</v>
      </c>
    </row>
    <row r="96" customFormat="false" ht="15" hidden="false" customHeight="true" outlineLevel="0" collapsed="false">
      <c r="A96" s="19" t="n">
        <v>45453</v>
      </c>
      <c r="B96" s="20" t="s">
        <v>19</v>
      </c>
      <c r="C96" s="20" t="s">
        <v>26</v>
      </c>
      <c r="D96" s="20" t="s">
        <v>20</v>
      </c>
      <c r="E96" s="21" t="n">
        <v>5174.18</v>
      </c>
      <c r="F96" s="21" t="n">
        <v>1096.76</v>
      </c>
      <c r="G96" s="20" t="n">
        <v>11</v>
      </c>
    </row>
    <row r="97" customFormat="false" ht="15" hidden="false" customHeight="true" outlineLevel="0" collapsed="false">
      <c r="A97" s="19" t="n">
        <v>45353</v>
      </c>
      <c r="B97" s="20" t="s">
        <v>23</v>
      </c>
      <c r="C97" s="20" t="s">
        <v>18</v>
      </c>
      <c r="D97" s="20" t="s">
        <v>28</v>
      </c>
      <c r="E97" s="21" t="n">
        <v>2772.5</v>
      </c>
      <c r="F97" s="21" t="n">
        <v>505.79</v>
      </c>
      <c r="G97" s="20" t="n">
        <v>10</v>
      </c>
    </row>
    <row r="98" customFormat="false" ht="15" hidden="false" customHeight="true" outlineLevel="0" collapsed="false">
      <c r="A98" s="19" t="n">
        <v>45491</v>
      </c>
      <c r="B98" s="20" t="s">
        <v>33</v>
      </c>
      <c r="C98" s="20" t="s">
        <v>18</v>
      </c>
      <c r="D98" s="20" t="s">
        <v>24</v>
      </c>
      <c r="E98" s="21" t="n">
        <v>863.38</v>
      </c>
      <c r="F98" s="21" t="n">
        <v>122.71</v>
      </c>
      <c r="G98" s="20" t="n">
        <v>14</v>
      </c>
    </row>
    <row r="99" customFormat="false" ht="15" hidden="false" customHeight="true" outlineLevel="0" collapsed="false">
      <c r="A99" s="19" t="n">
        <v>45435</v>
      </c>
      <c r="B99" s="20" t="s">
        <v>19</v>
      </c>
      <c r="C99" s="20" t="s">
        <v>18</v>
      </c>
      <c r="D99" s="20" t="s">
        <v>28</v>
      </c>
      <c r="E99" s="21" t="n">
        <v>4101.8</v>
      </c>
      <c r="F99" s="21" t="n">
        <v>640.14</v>
      </c>
      <c r="G99" s="20" t="n">
        <v>10</v>
      </c>
    </row>
    <row r="100" customFormat="false" ht="15" hidden="false" customHeight="true" outlineLevel="0" collapsed="false">
      <c r="A100" s="19" t="n">
        <v>45428</v>
      </c>
      <c r="B100" s="20" t="s">
        <v>31</v>
      </c>
      <c r="C100" s="20" t="s">
        <v>26</v>
      </c>
      <c r="D100" s="20" t="s">
        <v>20</v>
      </c>
      <c r="E100" s="21" t="n">
        <v>1276.75</v>
      </c>
      <c r="F100" s="21" t="n">
        <v>439.81</v>
      </c>
      <c r="G100" s="20" t="n">
        <v>25</v>
      </c>
    </row>
    <row r="101" customFormat="false" ht="15" hidden="false" customHeight="true" outlineLevel="0" collapsed="false">
      <c r="A101" s="19" t="n">
        <v>45306</v>
      </c>
      <c r="B101" s="20" t="s">
        <v>31</v>
      </c>
      <c r="C101" s="20" t="s">
        <v>22</v>
      </c>
      <c r="D101" s="20" t="s">
        <v>28</v>
      </c>
      <c r="E101" s="21" t="n">
        <v>46.32</v>
      </c>
      <c r="F101" s="21" t="n">
        <v>14.65</v>
      </c>
      <c r="G101" s="20" t="n">
        <v>3</v>
      </c>
    </row>
    <row r="102" customFormat="false" ht="15" hidden="false" customHeight="true" outlineLevel="0" collapsed="false">
      <c r="A102" s="19" t="n">
        <v>45522</v>
      </c>
      <c r="B102" s="20" t="s">
        <v>33</v>
      </c>
      <c r="C102" s="20" t="s">
        <v>22</v>
      </c>
      <c r="D102" s="20" t="s">
        <v>28</v>
      </c>
      <c r="E102" s="21" t="n">
        <v>414.2</v>
      </c>
      <c r="F102" s="21" t="n">
        <v>60.16</v>
      </c>
      <c r="G102" s="20" t="n">
        <v>10</v>
      </c>
    </row>
    <row r="103" customFormat="false" ht="15" hidden="false" customHeight="true" outlineLevel="0" collapsed="false">
      <c r="A103" s="19" t="n">
        <v>45573</v>
      </c>
      <c r="B103" s="20" t="s">
        <v>23</v>
      </c>
      <c r="C103" s="20" t="s">
        <v>22</v>
      </c>
      <c r="D103" s="20" t="s">
        <v>24</v>
      </c>
      <c r="E103" s="21" t="n">
        <v>4767.84</v>
      </c>
      <c r="F103" s="21" t="n">
        <v>979.69</v>
      </c>
      <c r="G103" s="20" t="n">
        <v>14</v>
      </c>
    </row>
    <row r="104" customFormat="false" ht="15" hidden="false" customHeight="true" outlineLevel="0" collapsed="false">
      <c r="A104" s="19" t="n">
        <v>45626</v>
      </c>
      <c r="B104" s="20" t="s">
        <v>27</v>
      </c>
      <c r="C104" s="20" t="s">
        <v>30</v>
      </c>
      <c r="D104" s="20" t="s">
        <v>28</v>
      </c>
      <c r="E104" s="21" t="n">
        <v>472.88</v>
      </c>
      <c r="F104" s="21" t="n">
        <v>173.91</v>
      </c>
      <c r="G104" s="20" t="n">
        <v>8</v>
      </c>
    </row>
    <row r="105" customFormat="false" ht="15" hidden="false" customHeight="true" outlineLevel="0" collapsed="false">
      <c r="A105" s="19" t="n">
        <v>45493</v>
      </c>
      <c r="B105" s="20" t="s">
        <v>19</v>
      </c>
      <c r="C105" s="20" t="s">
        <v>22</v>
      </c>
      <c r="D105" s="20" t="s">
        <v>28</v>
      </c>
      <c r="E105" s="21" t="n">
        <v>714.54</v>
      </c>
      <c r="F105" s="21" t="n">
        <v>131.87</v>
      </c>
      <c r="G105" s="20" t="n">
        <v>6</v>
      </c>
    </row>
    <row r="106" customFormat="false" ht="15" hidden="false" customHeight="true" outlineLevel="0" collapsed="false">
      <c r="A106" s="19" t="n">
        <v>45546</v>
      </c>
      <c r="B106" s="20" t="s">
        <v>33</v>
      </c>
      <c r="C106" s="20" t="s">
        <v>22</v>
      </c>
      <c r="D106" s="20" t="s">
        <v>24</v>
      </c>
      <c r="E106" s="21" t="n">
        <v>877.14</v>
      </c>
      <c r="F106" s="21" t="n">
        <v>105.52</v>
      </c>
      <c r="G106" s="20" t="n">
        <v>11</v>
      </c>
    </row>
    <row r="107" customFormat="false" ht="15" hidden="false" customHeight="true" outlineLevel="0" collapsed="false">
      <c r="A107" s="19" t="n">
        <v>45363</v>
      </c>
      <c r="B107" s="20" t="s">
        <v>33</v>
      </c>
      <c r="C107" s="20" t="s">
        <v>22</v>
      </c>
      <c r="D107" s="20" t="s">
        <v>20</v>
      </c>
      <c r="E107" s="21" t="n">
        <v>54.3</v>
      </c>
      <c r="F107" s="21" t="n">
        <v>6.84</v>
      </c>
      <c r="G107" s="20" t="n">
        <v>3</v>
      </c>
    </row>
    <row r="108" customFormat="false" ht="15" hidden="false" customHeight="true" outlineLevel="0" collapsed="false">
      <c r="A108" s="19" t="n">
        <v>45455</v>
      </c>
      <c r="B108" s="20" t="s">
        <v>23</v>
      </c>
      <c r="C108" s="20" t="s">
        <v>26</v>
      </c>
      <c r="D108" s="20" t="s">
        <v>24</v>
      </c>
      <c r="E108" s="21" t="n">
        <v>4588.5</v>
      </c>
      <c r="F108" s="21" t="n">
        <v>816.7</v>
      </c>
      <c r="G108" s="20" t="n">
        <v>19</v>
      </c>
    </row>
    <row r="109" customFormat="false" ht="15" hidden="false" customHeight="true" outlineLevel="0" collapsed="false">
      <c r="A109" s="19" t="n">
        <v>45503</v>
      </c>
      <c r="B109" s="20" t="s">
        <v>31</v>
      </c>
      <c r="C109" s="20" t="s">
        <v>30</v>
      </c>
      <c r="D109" s="20" t="s">
        <v>28</v>
      </c>
      <c r="E109" s="21" t="n">
        <v>562.7</v>
      </c>
      <c r="F109" s="21" t="n">
        <v>145.2</v>
      </c>
      <c r="G109" s="20" t="n">
        <v>17</v>
      </c>
    </row>
    <row r="110" customFormat="false" ht="15" hidden="false" customHeight="true" outlineLevel="0" collapsed="false">
      <c r="A110" s="19" t="n">
        <v>45323</v>
      </c>
      <c r="B110" s="20" t="s">
        <v>31</v>
      </c>
      <c r="C110" s="20" t="s">
        <v>26</v>
      </c>
      <c r="D110" s="20" t="s">
        <v>28</v>
      </c>
      <c r="E110" s="21" t="n">
        <v>286.2</v>
      </c>
      <c r="F110" s="21" t="n">
        <v>82.26</v>
      </c>
      <c r="G110" s="20" t="n">
        <v>12</v>
      </c>
    </row>
    <row r="111" customFormat="false" ht="15" hidden="false" customHeight="true" outlineLevel="0" collapsed="false">
      <c r="A111" s="19" t="n">
        <v>45614</v>
      </c>
      <c r="B111" s="20" t="s">
        <v>23</v>
      </c>
      <c r="C111" s="20" t="s">
        <v>18</v>
      </c>
      <c r="D111" s="20" t="s">
        <v>24</v>
      </c>
      <c r="E111" s="21" t="n">
        <v>2953.52</v>
      </c>
      <c r="F111" s="21" t="n">
        <v>708.65</v>
      </c>
      <c r="G111" s="20" t="n">
        <v>8</v>
      </c>
    </row>
    <row r="112" customFormat="false" ht="15" hidden="false" customHeight="true" outlineLevel="0" collapsed="false">
      <c r="A112" s="19" t="n">
        <v>45513</v>
      </c>
      <c r="B112" s="20" t="s">
        <v>27</v>
      </c>
      <c r="C112" s="20" t="s">
        <v>18</v>
      </c>
      <c r="D112" s="20" t="s">
        <v>20</v>
      </c>
      <c r="E112" s="21" t="n">
        <v>150.56</v>
      </c>
      <c r="F112" s="21" t="n">
        <v>60.27</v>
      </c>
      <c r="G112" s="20" t="n">
        <v>2</v>
      </c>
    </row>
    <row r="113" customFormat="false" ht="15" hidden="false" customHeight="true" outlineLevel="0" collapsed="false">
      <c r="A113" s="19" t="n">
        <v>45534</v>
      </c>
      <c r="B113" s="20" t="s">
        <v>33</v>
      </c>
      <c r="C113" s="20" t="s">
        <v>30</v>
      </c>
      <c r="D113" s="20" t="s">
        <v>20</v>
      </c>
      <c r="E113" s="21" t="n">
        <v>103.08</v>
      </c>
      <c r="F113" s="21" t="n">
        <v>15.05</v>
      </c>
      <c r="G113" s="20" t="n">
        <v>3</v>
      </c>
    </row>
    <row r="114" customFormat="false" ht="15" hidden="false" customHeight="true" outlineLevel="0" collapsed="false">
      <c r="A114" s="19" t="n">
        <v>45562</v>
      </c>
      <c r="B114" s="20" t="s">
        <v>31</v>
      </c>
      <c r="C114" s="20" t="s">
        <v>30</v>
      </c>
      <c r="D114" s="20" t="s">
        <v>20</v>
      </c>
      <c r="E114" s="21" t="n">
        <v>138.48</v>
      </c>
      <c r="F114" s="21" t="n">
        <v>33.67</v>
      </c>
      <c r="G114" s="20" t="n">
        <v>4</v>
      </c>
    </row>
    <row r="115" customFormat="false" ht="15" hidden="false" customHeight="true" outlineLevel="0" collapsed="false">
      <c r="A115" s="19" t="n">
        <v>45641</v>
      </c>
      <c r="B115" s="20" t="s">
        <v>19</v>
      </c>
      <c r="C115" s="20" t="s">
        <v>30</v>
      </c>
      <c r="D115" s="20" t="s">
        <v>20</v>
      </c>
      <c r="E115" s="21" t="n">
        <v>8711.46</v>
      </c>
      <c r="F115" s="21" t="n">
        <v>1255.41</v>
      </c>
      <c r="G115" s="20" t="n">
        <v>18</v>
      </c>
    </row>
    <row r="116" customFormat="false" ht="15" hidden="false" customHeight="true" outlineLevel="0" collapsed="false">
      <c r="A116" s="19" t="n">
        <v>45356</v>
      </c>
      <c r="B116" s="20" t="s">
        <v>23</v>
      </c>
      <c r="C116" s="20" t="s">
        <v>18</v>
      </c>
      <c r="D116" s="20" t="s">
        <v>28</v>
      </c>
      <c r="E116" s="21" t="n">
        <v>7190.95</v>
      </c>
      <c r="F116" s="21" t="n">
        <v>1356.71</v>
      </c>
      <c r="G116" s="20" t="n">
        <v>23</v>
      </c>
    </row>
    <row r="117" customFormat="false" ht="15" hidden="false" customHeight="true" outlineLevel="0" collapsed="false">
      <c r="A117" s="19" t="n">
        <v>45420</v>
      </c>
      <c r="B117" s="20" t="s">
        <v>33</v>
      </c>
      <c r="C117" s="20" t="s">
        <v>30</v>
      </c>
      <c r="D117" s="20" t="s">
        <v>28</v>
      </c>
      <c r="E117" s="21" t="n">
        <v>335.25</v>
      </c>
      <c r="F117" s="21" t="n">
        <v>33.46</v>
      </c>
      <c r="G117" s="20" t="n">
        <v>25</v>
      </c>
    </row>
    <row r="118" customFormat="false" ht="15" hidden="false" customHeight="true" outlineLevel="0" collapsed="false">
      <c r="A118" s="19" t="n">
        <v>45560</v>
      </c>
      <c r="B118" s="20" t="s">
        <v>33</v>
      </c>
      <c r="C118" s="20" t="s">
        <v>22</v>
      </c>
      <c r="D118" s="20" t="s">
        <v>24</v>
      </c>
      <c r="E118" s="21" t="n">
        <v>195.93</v>
      </c>
      <c r="F118" s="21" t="n">
        <v>25.17</v>
      </c>
      <c r="G118" s="20" t="n">
        <v>9</v>
      </c>
    </row>
    <row r="119" customFormat="false" ht="15" hidden="false" customHeight="true" outlineLevel="0" collapsed="false">
      <c r="A119" s="19" t="n">
        <v>45297</v>
      </c>
      <c r="B119" s="20" t="s">
        <v>33</v>
      </c>
      <c r="C119" s="20" t="s">
        <v>26</v>
      </c>
      <c r="D119" s="20" t="s">
        <v>24</v>
      </c>
      <c r="E119" s="21" t="n">
        <v>692.28</v>
      </c>
      <c r="F119" s="21" t="n">
        <v>90.56</v>
      </c>
      <c r="G119" s="20" t="n">
        <v>9</v>
      </c>
    </row>
    <row r="120" customFormat="false" ht="15" hidden="false" customHeight="true" outlineLevel="0" collapsed="false">
      <c r="A120" s="19" t="n">
        <v>45416</v>
      </c>
      <c r="B120" s="20" t="s">
        <v>31</v>
      </c>
      <c r="C120" s="20" t="s">
        <v>22</v>
      </c>
      <c r="D120" s="20" t="s">
        <v>28</v>
      </c>
      <c r="E120" s="21" t="n">
        <v>105.76</v>
      </c>
      <c r="F120" s="21" t="n">
        <v>29.18</v>
      </c>
      <c r="G120" s="20" t="n">
        <v>8</v>
      </c>
    </row>
    <row r="121" customFormat="false" ht="15" hidden="false" customHeight="true" outlineLevel="0" collapsed="false">
      <c r="A121" s="19" t="n">
        <v>45624</v>
      </c>
      <c r="B121" s="20" t="s">
        <v>27</v>
      </c>
      <c r="C121" s="20" t="s">
        <v>18</v>
      </c>
      <c r="D121" s="20" t="s">
        <v>20</v>
      </c>
      <c r="E121" s="21" t="n">
        <v>593.46</v>
      </c>
      <c r="F121" s="21" t="n">
        <v>229.21</v>
      </c>
      <c r="G121" s="20" t="n">
        <v>7</v>
      </c>
    </row>
    <row r="122" customFormat="false" ht="15" hidden="false" customHeight="true" outlineLevel="0" collapsed="false">
      <c r="A122" s="19" t="n">
        <v>45507</v>
      </c>
      <c r="B122" s="20" t="s">
        <v>19</v>
      </c>
      <c r="C122" s="20" t="s">
        <v>26</v>
      </c>
      <c r="D122" s="20" t="s">
        <v>20</v>
      </c>
      <c r="E122" s="21" t="n">
        <v>6614.3</v>
      </c>
      <c r="F122" s="21" t="n">
        <v>1150.81</v>
      </c>
      <c r="G122" s="20" t="n">
        <v>22</v>
      </c>
    </row>
    <row r="123" customFormat="false" ht="15" hidden="false" customHeight="true" outlineLevel="0" collapsed="false">
      <c r="A123" s="19" t="n">
        <v>45544</v>
      </c>
      <c r="B123" s="20" t="s">
        <v>19</v>
      </c>
      <c r="C123" s="20" t="s">
        <v>26</v>
      </c>
      <c r="D123" s="20" t="s">
        <v>28</v>
      </c>
      <c r="E123" s="21" t="n">
        <v>3757.74</v>
      </c>
      <c r="F123" s="21" t="n">
        <v>661.76</v>
      </c>
      <c r="G123" s="20" t="n">
        <v>14</v>
      </c>
    </row>
    <row r="124" customFormat="false" ht="15" hidden="false" customHeight="true" outlineLevel="0" collapsed="false">
      <c r="A124" s="19" t="n">
        <v>45295</v>
      </c>
      <c r="B124" s="20" t="s">
        <v>27</v>
      </c>
      <c r="C124" s="20" t="s">
        <v>18</v>
      </c>
      <c r="D124" s="20" t="s">
        <v>20</v>
      </c>
      <c r="E124" s="21" t="n">
        <v>2337.28</v>
      </c>
      <c r="F124" s="21" t="n">
        <v>769.19</v>
      </c>
      <c r="G124" s="20" t="n">
        <v>16</v>
      </c>
    </row>
    <row r="125" customFormat="false" ht="15" hidden="false" customHeight="true" outlineLevel="0" collapsed="false">
      <c r="A125" s="19" t="n">
        <v>45391</v>
      </c>
      <c r="B125" s="20" t="s">
        <v>23</v>
      </c>
      <c r="C125" s="20" t="s">
        <v>30</v>
      </c>
      <c r="D125" s="20" t="s">
        <v>20</v>
      </c>
      <c r="E125" s="21" t="n">
        <v>5690.97</v>
      </c>
      <c r="F125" s="21" t="n">
        <v>1167.78</v>
      </c>
      <c r="G125" s="20" t="n">
        <v>9</v>
      </c>
    </row>
    <row r="126" customFormat="false" ht="15" hidden="false" customHeight="true" outlineLevel="0" collapsed="false">
      <c r="A126" s="19" t="n">
        <v>45611</v>
      </c>
      <c r="B126" s="20" t="s">
        <v>31</v>
      </c>
      <c r="C126" s="20" t="s">
        <v>22</v>
      </c>
      <c r="D126" s="20" t="s">
        <v>20</v>
      </c>
      <c r="E126" s="21" t="n">
        <v>893.92</v>
      </c>
      <c r="F126" s="21" t="n">
        <v>275.17</v>
      </c>
      <c r="G126" s="20" t="n">
        <v>16</v>
      </c>
    </row>
    <row r="127" customFormat="false" ht="15" hidden="false" customHeight="true" outlineLevel="0" collapsed="false">
      <c r="A127" s="19" t="n">
        <v>45596</v>
      </c>
      <c r="B127" s="20" t="s">
        <v>23</v>
      </c>
      <c r="C127" s="20" t="s">
        <v>30</v>
      </c>
      <c r="D127" s="20" t="s">
        <v>20</v>
      </c>
      <c r="E127" s="21" t="n">
        <v>815.78</v>
      </c>
      <c r="F127" s="21" t="n">
        <v>191.72</v>
      </c>
      <c r="G127" s="20" t="n">
        <v>7</v>
      </c>
    </row>
    <row r="128" customFormat="false" ht="15" hidden="false" customHeight="true" outlineLevel="0" collapsed="false">
      <c r="A128" s="19" t="n">
        <v>45504</v>
      </c>
      <c r="B128" s="20" t="s">
        <v>19</v>
      </c>
      <c r="C128" s="20" t="s">
        <v>18</v>
      </c>
      <c r="D128" s="20" t="s">
        <v>20</v>
      </c>
      <c r="E128" s="21" t="n">
        <v>4079.53</v>
      </c>
      <c r="F128" s="21" t="n">
        <v>822.74</v>
      </c>
      <c r="G128" s="20" t="n">
        <v>13</v>
      </c>
    </row>
    <row r="129" customFormat="false" ht="15" hidden="false" customHeight="true" outlineLevel="0" collapsed="false">
      <c r="A129" s="19" t="n">
        <v>45452</v>
      </c>
      <c r="B129" s="20" t="s">
        <v>19</v>
      </c>
      <c r="C129" s="20" t="s">
        <v>18</v>
      </c>
      <c r="D129" s="20" t="s">
        <v>20</v>
      </c>
      <c r="E129" s="21" t="n">
        <v>1970.76</v>
      </c>
      <c r="F129" s="21" t="n">
        <v>387.94</v>
      </c>
      <c r="G129" s="20" t="n">
        <v>11</v>
      </c>
    </row>
    <row r="130" customFormat="false" ht="15" hidden="false" customHeight="true" outlineLevel="0" collapsed="false">
      <c r="A130" s="19" t="n">
        <v>45560</v>
      </c>
      <c r="B130" s="20" t="s">
        <v>31</v>
      </c>
      <c r="C130" s="20" t="s">
        <v>18</v>
      </c>
      <c r="D130" s="20" t="s">
        <v>24</v>
      </c>
      <c r="E130" s="21" t="n">
        <v>1975.38</v>
      </c>
      <c r="F130" s="21" t="n">
        <v>651.34</v>
      </c>
      <c r="G130" s="20" t="n">
        <v>22</v>
      </c>
    </row>
    <row r="131" customFormat="false" ht="15" hidden="false" customHeight="true" outlineLevel="0" collapsed="false">
      <c r="A131" s="19" t="n">
        <v>45461</v>
      </c>
      <c r="B131" s="20" t="s">
        <v>31</v>
      </c>
      <c r="C131" s="20" t="s">
        <v>22</v>
      </c>
      <c r="D131" s="20" t="s">
        <v>20</v>
      </c>
      <c r="E131" s="21" t="n">
        <v>18.61</v>
      </c>
      <c r="F131" s="21" t="n">
        <v>4.36</v>
      </c>
      <c r="G131" s="20" t="n">
        <v>1</v>
      </c>
    </row>
    <row r="132" customFormat="false" ht="15" hidden="false" customHeight="true" outlineLevel="0" collapsed="false">
      <c r="A132" s="19" t="n">
        <v>45507</v>
      </c>
      <c r="B132" s="20" t="s">
        <v>19</v>
      </c>
      <c r="C132" s="20" t="s">
        <v>22</v>
      </c>
      <c r="D132" s="20" t="s">
        <v>24</v>
      </c>
      <c r="E132" s="21" t="n">
        <v>5756.88</v>
      </c>
      <c r="F132" s="21" t="n">
        <v>972.94</v>
      </c>
      <c r="G132" s="20" t="n">
        <v>12</v>
      </c>
    </row>
    <row r="133" customFormat="false" ht="15" hidden="false" customHeight="true" outlineLevel="0" collapsed="false">
      <c r="A133" s="19" t="n">
        <v>45513</v>
      </c>
      <c r="B133" s="20" t="s">
        <v>19</v>
      </c>
      <c r="C133" s="20" t="s">
        <v>18</v>
      </c>
      <c r="D133" s="20" t="s">
        <v>28</v>
      </c>
      <c r="E133" s="21" t="n">
        <v>2908.32</v>
      </c>
      <c r="F133" s="21" t="n">
        <v>546.37</v>
      </c>
      <c r="G133" s="20" t="n">
        <v>16</v>
      </c>
    </row>
    <row r="134" customFormat="false" ht="15" hidden="false" customHeight="true" outlineLevel="0" collapsed="false">
      <c r="A134" s="19" t="n">
        <v>45520</v>
      </c>
      <c r="B134" s="20" t="s">
        <v>23</v>
      </c>
      <c r="C134" s="20" t="s">
        <v>26</v>
      </c>
      <c r="D134" s="20" t="s">
        <v>24</v>
      </c>
      <c r="E134" s="21" t="n">
        <v>17469.6</v>
      </c>
      <c r="F134" s="21" t="n">
        <v>3127.02</v>
      </c>
      <c r="G134" s="20" t="n">
        <v>24</v>
      </c>
    </row>
    <row r="135" customFormat="false" ht="15" hidden="false" customHeight="true" outlineLevel="0" collapsed="false">
      <c r="A135" s="19" t="n">
        <v>45502</v>
      </c>
      <c r="B135" s="20" t="s">
        <v>23</v>
      </c>
      <c r="C135" s="20" t="s">
        <v>30</v>
      </c>
      <c r="D135" s="20" t="s">
        <v>20</v>
      </c>
      <c r="E135" s="21" t="n">
        <v>1617.2</v>
      </c>
      <c r="F135" s="21" t="n">
        <v>294.65</v>
      </c>
      <c r="G135" s="20" t="n">
        <v>13</v>
      </c>
    </row>
    <row r="136" customFormat="false" ht="15" hidden="false" customHeight="true" outlineLevel="0" collapsed="false">
      <c r="A136" s="19" t="n">
        <v>45323</v>
      </c>
      <c r="B136" s="20" t="s">
        <v>27</v>
      </c>
      <c r="C136" s="20" t="s">
        <v>22</v>
      </c>
      <c r="D136" s="20" t="s">
        <v>28</v>
      </c>
      <c r="E136" s="21" t="n">
        <v>410.43</v>
      </c>
      <c r="F136" s="21" t="n">
        <v>136.84</v>
      </c>
      <c r="G136" s="20" t="n">
        <v>3</v>
      </c>
    </row>
    <row r="137" customFormat="false" ht="15" hidden="false" customHeight="true" outlineLevel="0" collapsed="false">
      <c r="A137" s="19" t="n">
        <v>45431</v>
      </c>
      <c r="B137" s="20" t="s">
        <v>27</v>
      </c>
      <c r="C137" s="20" t="s">
        <v>18</v>
      </c>
      <c r="D137" s="20" t="s">
        <v>24</v>
      </c>
      <c r="E137" s="21" t="n">
        <v>2715.84</v>
      </c>
      <c r="F137" s="21" t="n">
        <v>895.81</v>
      </c>
      <c r="G137" s="20" t="n">
        <v>24</v>
      </c>
    </row>
    <row r="138" customFormat="false" ht="15" hidden="false" customHeight="true" outlineLevel="0" collapsed="false">
      <c r="A138" s="19" t="n">
        <v>45433</v>
      </c>
      <c r="B138" s="20" t="s">
        <v>27</v>
      </c>
      <c r="C138" s="20" t="s">
        <v>18</v>
      </c>
      <c r="D138" s="20" t="s">
        <v>28</v>
      </c>
      <c r="E138" s="21" t="n">
        <v>2435.5</v>
      </c>
      <c r="F138" s="21" t="n">
        <v>990.98</v>
      </c>
      <c r="G138" s="20" t="n">
        <v>25</v>
      </c>
    </row>
    <row r="139" customFormat="false" ht="15" hidden="false" customHeight="true" outlineLevel="0" collapsed="false">
      <c r="A139" s="19" t="n">
        <v>45325</v>
      </c>
      <c r="B139" s="20" t="s">
        <v>19</v>
      </c>
      <c r="C139" s="20" t="s">
        <v>22</v>
      </c>
      <c r="D139" s="20" t="s">
        <v>20</v>
      </c>
      <c r="E139" s="21" t="n">
        <v>7233.6</v>
      </c>
      <c r="F139" s="21" t="n">
        <v>1314.53</v>
      </c>
      <c r="G139" s="20" t="n">
        <v>16</v>
      </c>
    </row>
    <row r="140" customFormat="false" ht="15" hidden="false" customHeight="true" outlineLevel="0" collapsed="false">
      <c r="A140" s="19" t="n">
        <v>45489</v>
      </c>
      <c r="B140" s="20" t="s">
        <v>27</v>
      </c>
      <c r="C140" s="20" t="s">
        <v>30</v>
      </c>
      <c r="D140" s="20" t="s">
        <v>24</v>
      </c>
      <c r="E140" s="21" t="n">
        <v>703.25</v>
      </c>
      <c r="F140" s="21" t="n">
        <v>217.17</v>
      </c>
      <c r="G140" s="20" t="n">
        <v>5</v>
      </c>
    </row>
    <row r="141" customFormat="false" ht="15" hidden="false" customHeight="true" outlineLevel="0" collapsed="false">
      <c r="A141" s="19" t="n">
        <v>45447</v>
      </c>
      <c r="B141" s="20" t="s">
        <v>23</v>
      </c>
      <c r="C141" s="20" t="s">
        <v>22</v>
      </c>
      <c r="D141" s="20" t="s">
        <v>24</v>
      </c>
      <c r="E141" s="21" t="n">
        <v>4648.05</v>
      </c>
      <c r="F141" s="21" t="n">
        <v>1178.74</v>
      </c>
      <c r="G141" s="20" t="n">
        <v>11</v>
      </c>
    </row>
    <row r="142" customFormat="false" ht="15" hidden="false" customHeight="true" outlineLevel="0" collapsed="false">
      <c r="A142" s="19" t="n">
        <v>45597</v>
      </c>
      <c r="B142" s="20" t="s">
        <v>19</v>
      </c>
      <c r="C142" s="20" t="s">
        <v>22</v>
      </c>
      <c r="D142" s="20" t="s">
        <v>24</v>
      </c>
      <c r="E142" s="21" t="n">
        <v>4079.25</v>
      </c>
      <c r="F142" s="21" t="n">
        <v>722.14</v>
      </c>
      <c r="G142" s="20" t="n">
        <v>25</v>
      </c>
    </row>
    <row r="143" customFormat="false" ht="15" hidden="false" customHeight="true" outlineLevel="0" collapsed="false">
      <c r="A143" s="19" t="n">
        <v>45624</v>
      </c>
      <c r="B143" s="20" t="s">
        <v>19</v>
      </c>
      <c r="C143" s="20" t="s">
        <v>30</v>
      </c>
      <c r="D143" s="20" t="s">
        <v>28</v>
      </c>
      <c r="E143" s="21" t="n">
        <v>4489.02</v>
      </c>
      <c r="F143" s="21" t="n">
        <v>1002.85</v>
      </c>
      <c r="G143" s="20" t="n">
        <v>18</v>
      </c>
    </row>
    <row r="144" customFormat="false" ht="15" hidden="false" customHeight="true" outlineLevel="0" collapsed="false">
      <c r="A144" s="19" t="n">
        <v>45345</v>
      </c>
      <c r="B144" s="20" t="s">
        <v>19</v>
      </c>
      <c r="C144" s="20" t="s">
        <v>26</v>
      </c>
      <c r="D144" s="20" t="s">
        <v>28</v>
      </c>
      <c r="E144" s="21" t="n">
        <v>565.02</v>
      </c>
      <c r="F144" s="21" t="n">
        <v>100.63</v>
      </c>
      <c r="G144" s="20" t="n">
        <v>3</v>
      </c>
    </row>
    <row r="145" customFormat="false" ht="15" hidden="false" customHeight="true" outlineLevel="0" collapsed="false">
      <c r="A145" s="19" t="n">
        <v>45655</v>
      </c>
      <c r="B145" s="20" t="s">
        <v>31</v>
      </c>
      <c r="C145" s="20" t="s">
        <v>22</v>
      </c>
      <c r="D145" s="20" t="s">
        <v>20</v>
      </c>
      <c r="E145" s="21" t="n">
        <v>279.25</v>
      </c>
      <c r="F145" s="21" t="n">
        <v>84.38</v>
      </c>
      <c r="G145" s="20" t="n">
        <v>5</v>
      </c>
    </row>
    <row r="146" customFormat="false" ht="15" hidden="false" customHeight="true" outlineLevel="0" collapsed="false">
      <c r="A146" s="19" t="n">
        <v>45637</v>
      </c>
      <c r="B146" s="20" t="s">
        <v>23</v>
      </c>
      <c r="C146" s="20" t="s">
        <v>18</v>
      </c>
      <c r="D146" s="20" t="s">
        <v>24</v>
      </c>
      <c r="E146" s="21" t="n">
        <v>2955.8</v>
      </c>
      <c r="F146" s="21" t="n">
        <v>598.55</v>
      </c>
      <c r="G146" s="20" t="n">
        <v>10</v>
      </c>
    </row>
    <row r="147" customFormat="false" ht="15" hidden="false" customHeight="true" outlineLevel="0" collapsed="false">
      <c r="A147" s="19" t="n">
        <v>45422</v>
      </c>
      <c r="B147" s="20" t="s">
        <v>27</v>
      </c>
      <c r="C147" s="20" t="s">
        <v>22</v>
      </c>
      <c r="D147" s="20" t="s">
        <v>24</v>
      </c>
      <c r="E147" s="21" t="n">
        <v>353.2</v>
      </c>
      <c r="F147" s="21" t="n">
        <v>112</v>
      </c>
      <c r="G147" s="20" t="n">
        <v>8</v>
      </c>
    </row>
    <row r="148" customFormat="false" ht="15" hidden="false" customHeight="true" outlineLevel="0" collapsed="false">
      <c r="A148" s="19" t="n">
        <v>45436</v>
      </c>
      <c r="B148" s="20" t="s">
        <v>33</v>
      </c>
      <c r="C148" s="20" t="s">
        <v>22</v>
      </c>
      <c r="D148" s="20" t="s">
        <v>24</v>
      </c>
      <c r="E148" s="21" t="n">
        <v>104.13</v>
      </c>
      <c r="F148" s="21" t="n">
        <v>15.58</v>
      </c>
      <c r="G148" s="20" t="n">
        <v>3</v>
      </c>
    </row>
    <row r="149" customFormat="false" ht="15" hidden="false" customHeight="true" outlineLevel="0" collapsed="false">
      <c r="A149" s="19" t="n">
        <v>45551</v>
      </c>
      <c r="B149" s="20" t="s">
        <v>33</v>
      </c>
      <c r="C149" s="20" t="s">
        <v>22</v>
      </c>
      <c r="D149" s="20" t="s">
        <v>28</v>
      </c>
      <c r="E149" s="21" t="n">
        <v>216</v>
      </c>
      <c r="F149" s="21" t="n">
        <v>32.29</v>
      </c>
      <c r="G149" s="20" t="n">
        <v>4</v>
      </c>
    </row>
    <row r="150" customFormat="false" ht="15" hidden="false" customHeight="true" outlineLevel="0" collapsed="false">
      <c r="A150" s="19" t="n">
        <v>45344</v>
      </c>
      <c r="B150" s="20" t="s">
        <v>19</v>
      </c>
      <c r="C150" s="20" t="s">
        <v>30</v>
      </c>
      <c r="D150" s="20" t="s">
        <v>20</v>
      </c>
      <c r="E150" s="21" t="n">
        <v>8332.2</v>
      </c>
      <c r="F150" s="21" t="n">
        <v>1227.08</v>
      </c>
      <c r="G150" s="20" t="n">
        <v>15</v>
      </c>
    </row>
    <row r="151" customFormat="false" ht="15" hidden="false" customHeight="true" outlineLevel="0" collapsed="false">
      <c r="A151" s="19" t="n">
        <v>45442</v>
      </c>
      <c r="B151" s="20" t="s">
        <v>23</v>
      </c>
      <c r="C151" s="20" t="s">
        <v>18</v>
      </c>
      <c r="D151" s="20" t="s">
        <v>20</v>
      </c>
      <c r="E151" s="21" t="n">
        <v>3642.45</v>
      </c>
      <c r="F151" s="21" t="n">
        <v>939.62</v>
      </c>
      <c r="G151" s="20" t="n">
        <v>7</v>
      </c>
    </row>
    <row r="152" customFormat="false" ht="15" hidden="false" customHeight="true" outlineLevel="0" collapsed="false">
      <c r="A152" s="19" t="n">
        <v>45391</v>
      </c>
      <c r="B152" s="20" t="s">
        <v>19</v>
      </c>
      <c r="C152" s="20" t="s">
        <v>26</v>
      </c>
      <c r="D152" s="20" t="s">
        <v>28</v>
      </c>
      <c r="E152" s="21" t="n">
        <v>1881.24</v>
      </c>
      <c r="F152" s="21" t="n">
        <v>310.51</v>
      </c>
      <c r="G152" s="20" t="n">
        <v>6</v>
      </c>
    </row>
    <row r="153" customFormat="false" ht="15" hidden="false" customHeight="true" outlineLevel="0" collapsed="false">
      <c r="A153" s="19" t="n">
        <v>45632</v>
      </c>
      <c r="B153" s="20" t="s">
        <v>19</v>
      </c>
      <c r="C153" s="20" t="s">
        <v>18</v>
      </c>
      <c r="D153" s="20" t="s">
        <v>28</v>
      </c>
      <c r="E153" s="21" t="n">
        <v>8981</v>
      </c>
      <c r="F153" s="21" t="n">
        <v>1547.66</v>
      </c>
      <c r="G153" s="20" t="n">
        <v>20</v>
      </c>
    </row>
    <row r="154" customFormat="false" ht="15" hidden="false" customHeight="true" outlineLevel="0" collapsed="false">
      <c r="A154" s="19" t="n">
        <v>45311</v>
      </c>
      <c r="B154" s="20" t="s">
        <v>27</v>
      </c>
      <c r="C154" s="20" t="s">
        <v>26</v>
      </c>
      <c r="D154" s="20" t="s">
        <v>20</v>
      </c>
      <c r="E154" s="21" t="n">
        <v>93.04</v>
      </c>
      <c r="F154" s="21" t="n">
        <v>29.79</v>
      </c>
      <c r="G154" s="20" t="n">
        <v>2</v>
      </c>
    </row>
    <row r="155" customFormat="false" ht="15" hidden="false" customHeight="true" outlineLevel="0" collapsed="false">
      <c r="A155" s="19" t="n">
        <v>45598</v>
      </c>
      <c r="B155" s="20" t="s">
        <v>23</v>
      </c>
      <c r="C155" s="20" t="s">
        <v>18</v>
      </c>
      <c r="D155" s="20" t="s">
        <v>24</v>
      </c>
      <c r="E155" s="21" t="n">
        <v>8047.48</v>
      </c>
      <c r="F155" s="21" t="n">
        <v>1563.86</v>
      </c>
      <c r="G155" s="20" t="n">
        <v>14</v>
      </c>
    </row>
    <row r="156" customFormat="false" ht="15" hidden="false" customHeight="true" outlineLevel="0" collapsed="false">
      <c r="A156" s="19" t="n">
        <v>45451</v>
      </c>
      <c r="B156" s="20" t="s">
        <v>19</v>
      </c>
      <c r="C156" s="20" t="s">
        <v>22</v>
      </c>
      <c r="D156" s="20" t="s">
        <v>20</v>
      </c>
      <c r="E156" s="21" t="n">
        <v>5839.68</v>
      </c>
      <c r="F156" s="21" t="n">
        <v>870.84</v>
      </c>
      <c r="G156" s="20" t="n">
        <v>16</v>
      </c>
    </row>
    <row r="157" customFormat="false" ht="15" hidden="false" customHeight="true" outlineLevel="0" collapsed="false">
      <c r="A157" s="19" t="n">
        <v>45343</v>
      </c>
      <c r="B157" s="20" t="s">
        <v>31</v>
      </c>
      <c r="C157" s="20" t="s">
        <v>22</v>
      </c>
      <c r="D157" s="20" t="s">
        <v>28</v>
      </c>
      <c r="E157" s="21" t="n">
        <v>360.54</v>
      </c>
      <c r="F157" s="21" t="n">
        <v>88.2</v>
      </c>
      <c r="G157" s="20" t="n">
        <v>18</v>
      </c>
    </row>
    <row r="158" customFormat="false" ht="15" hidden="false" customHeight="true" outlineLevel="0" collapsed="false">
      <c r="A158" s="19" t="n">
        <v>45648</v>
      </c>
      <c r="B158" s="20" t="s">
        <v>27</v>
      </c>
      <c r="C158" s="20" t="s">
        <v>30</v>
      </c>
      <c r="D158" s="20" t="s">
        <v>24</v>
      </c>
      <c r="E158" s="21" t="n">
        <v>1319.78</v>
      </c>
      <c r="F158" s="21" t="n">
        <v>567.67</v>
      </c>
      <c r="G158" s="20" t="n">
        <v>22</v>
      </c>
    </row>
    <row r="159" customFormat="false" ht="15" hidden="false" customHeight="true" outlineLevel="0" collapsed="false">
      <c r="A159" s="19" t="n">
        <v>45451</v>
      </c>
      <c r="B159" s="20" t="s">
        <v>33</v>
      </c>
      <c r="C159" s="20" t="s">
        <v>26</v>
      </c>
      <c r="D159" s="20" t="s">
        <v>24</v>
      </c>
      <c r="E159" s="21" t="n">
        <v>89.18</v>
      </c>
      <c r="F159" s="21" t="n">
        <v>12.25</v>
      </c>
      <c r="G159" s="20" t="n">
        <v>14</v>
      </c>
    </row>
    <row r="160" customFormat="false" ht="15" hidden="false" customHeight="true" outlineLevel="0" collapsed="false">
      <c r="A160" s="19" t="n">
        <v>45478</v>
      </c>
      <c r="B160" s="20" t="s">
        <v>23</v>
      </c>
      <c r="C160" s="20" t="s">
        <v>30</v>
      </c>
      <c r="D160" s="20" t="s">
        <v>28</v>
      </c>
      <c r="E160" s="21" t="n">
        <v>3153.41</v>
      </c>
      <c r="F160" s="21" t="n">
        <v>556.83</v>
      </c>
      <c r="G160" s="20" t="n">
        <v>13</v>
      </c>
    </row>
    <row r="161" customFormat="false" ht="15" hidden="false" customHeight="true" outlineLevel="0" collapsed="false">
      <c r="A161" s="19" t="n">
        <v>45372</v>
      </c>
      <c r="B161" s="20" t="s">
        <v>31</v>
      </c>
      <c r="C161" s="20" t="s">
        <v>18</v>
      </c>
      <c r="D161" s="20" t="s">
        <v>20</v>
      </c>
      <c r="E161" s="21" t="n">
        <v>956.28</v>
      </c>
      <c r="F161" s="21" t="n">
        <v>258.15</v>
      </c>
      <c r="G161" s="20" t="n">
        <v>13</v>
      </c>
    </row>
    <row r="162" customFormat="false" ht="15" hidden="false" customHeight="true" outlineLevel="0" collapsed="false">
      <c r="A162" s="19" t="n">
        <v>45375</v>
      </c>
      <c r="B162" s="20" t="s">
        <v>23</v>
      </c>
      <c r="C162" s="20" t="s">
        <v>18</v>
      </c>
      <c r="D162" s="20" t="s">
        <v>20</v>
      </c>
      <c r="E162" s="21" t="n">
        <v>3595.5</v>
      </c>
      <c r="F162" s="21" t="n">
        <v>919.87</v>
      </c>
      <c r="G162" s="20" t="n">
        <v>18</v>
      </c>
    </row>
    <row r="163" customFormat="false" ht="15" hidden="false" customHeight="true" outlineLevel="0" collapsed="false">
      <c r="A163" s="19" t="n">
        <v>45495</v>
      </c>
      <c r="B163" s="20" t="s">
        <v>19</v>
      </c>
      <c r="C163" s="20" t="s">
        <v>26</v>
      </c>
      <c r="D163" s="20" t="s">
        <v>28</v>
      </c>
      <c r="E163" s="21" t="n">
        <v>2877.76</v>
      </c>
      <c r="F163" s="21" t="n">
        <v>495.5</v>
      </c>
      <c r="G163" s="20" t="n">
        <v>17</v>
      </c>
    </row>
    <row r="164" customFormat="false" ht="15" hidden="false" customHeight="true" outlineLevel="0" collapsed="false">
      <c r="A164" s="19" t="n">
        <v>45374</v>
      </c>
      <c r="B164" s="20" t="s">
        <v>33</v>
      </c>
      <c r="C164" s="20" t="s">
        <v>22</v>
      </c>
      <c r="D164" s="20" t="s">
        <v>20</v>
      </c>
      <c r="E164" s="21" t="n">
        <v>135.12</v>
      </c>
      <c r="F164" s="21" t="n">
        <v>18.47</v>
      </c>
      <c r="G164" s="20" t="n">
        <v>4</v>
      </c>
    </row>
    <row r="165" customFormat="false" ht="15" hidden="false" customHeight="true" outlineLevel="0" collapsed="false">
      <c r="A165" s="19" t="n">
        <v>45393</v>
      </c>
      <c r="B165" s="20" t="s">
        <v>27</v>
      </c>
      <c r="C165" s="20" t="s">
        <v>22</v>
      </c>
      <c r="D165" s="20" t="s">
        <v>20</v>
      </c>
      <c r="E165" s="21" t="n">
        <v>974.24</v>
      </c>
      <c r="F165" s="21" t="n">
        <v>366.03</v>
      </c>
      <c r="G165" s="20" t="n">
        <v>16</v>
      </c>
    </row>
    <row r="166" customFormat="false" ht="15" hidden="false" customHeight="true" outlineLevel="0" collapsed="false">
      <c r="A166" s="19" t="n">
        <v>45617</v>
      </c>
      <c r="B166" s="20" t="s">
        <v>31</v>
      </c>
      <c r="C166" s="20" t="s">
        <v>18</v>
      </c>
      <c r="D166" s="20" t="s">
        <v>28</v>
      </c>
      <c r="E166" s="21" t="n">
        <v>1714</v>
      </c>
      <c r="F166" s="21" t="n">
        <v>576.39</v>
      </c>
      <c r="G166" s="20" t="n">
        <v>20</v>
      </c>
    </row>
    <row r="167" customFormat="false" ht="15" hidden="false" customHeight="true" outlineLevel="0" collapsed="false">
      <c r="A167" s="19" t="n">
        <v>45619</v>
      </c>
      <c r="B167" s="20" t="s">
        <v>23</v>
      </c>
      <c r="C167" s="20" t="s">
        <v>30</v>
      </c>
      <c r="D167" s="20" t="s">
        <v>28</v>
      </c>
      <c r="E167" s="21" t="n">
        <v>4763.01</v>
      </c>
      <c r="F167" s="21" t="n">
        <v>924.56</v>
      </c>
      <c r="G167" s="20" t="n">
        <v>7</v>
      </c>
    </row>
    <row r="168" customFormat="false" ht="15" hidden="false" customHeight="true" outlineLevel="0" collapsed="false">
      <c r="A168" s="19" t="n">
        <v>45403</v>
      </c>
      <c r="B168" s="20" t="s">
        <v>19</v>
      </c>
      <c r="C168" s="20" t="s">
        <v>30</v>
      </c>
      <c r="D168" s="20" t="s">
        <v>28</v>
      </c>
      <c r="E168" s="21" t="n">
        <v>1676.76</v>
      </c>
      <c r="F168" s="21" t="n">
        <v>258.17</v>
      </c>
      <c r="G168" s="20" t="n">
        <v>6</v>
      </c>
    </row>
    <row r="169" customFormat="false" ht="15" hidden="false" customHeight="true" outlineLevel="0" collapsed="false">
      <c r="A169" s="19" t="n">
        <v>45418</v>
      </c>
      <c r="B169" s="20" t="s">
        <v>23</v>
      </c>
      <c r="C169" s="20" t="s">
        <v>18</v>
      </c>
      <c r="D169" s="20" t="s">
        <v>28</v>
      </c>
      <c r="E169" s="21" t="n">
        <v>14264.5</v>
      </c>
      <c r="F169" s="21" t="n">
        <v>3453.75</v>
      </c>
      <c r="G169" s="20" t="n">
        <v>25</v>
      </c>
    </row>
    <row r="170" customFormat="false" ht="15" hidden="false" customHeight="true" outlineLevel="0" collapsed="false">
      <c r="A170" s="19" t="n">
        <v>45457</v>
      </c>
      <c r="B170" s="20" t="s">
        <v>19</v>
      </c>
      <c r="C170" s="20" t="s">
        <v>30</v>
      </c>
      <c r="D170" s="20" t="s">
        <v>28</v>
      </c>
      <c r="E170" s="21" t="n">
        <v>5490.45</v>
      </c>
      <c r="F170" s="21" t="n">
        <v>1069.49</v>
      </c>
      <c r="G170" s="20" t="n">
        <v>15</v>
      </c>
    </row>
    <row r="171" customFormat="false" ht="15" hidden="false" customHeight="true" outlineLevel="0" collapsed="false">
      <c r="A171" s="19" t="n">
        <v>45448</v>
      </c>
      <c r="B171" s="20" t="s">
        <v>31</v>
      </c>
      <c r="C171" s="20" t="s">
        <v>26</v>
      </c>
      <c r="D171" s="20" t="s">
        <v>28</v>
      </c>
      <c r="E171" s="21" t="n">
        <v>454.64</v>
      </c>
      <c r="F171" s="21" t="n">
        <v>139.58</v>
      </c>
      <c r="G171" s="20" t="n">
        <v>8</v>
      </c>
    </row>
    <row r="172" customFormat="false" ht="15" hidden="false" customHeight="true" outlineLevel="0" collapsed="false">
      <c r="A172" s="19" t="n">
        <v>45520</v>
      </c>
      <c r="B172" s="20" t="s">
        <v>33</v>
      </c>
      <c r="C172" s="20" t="s">
        <v>30</v>
      </c>
      <c r="D172" s="20" t="s">
        <v>20</v>
      </c>
      <c r="E172" s="21" t="n">
        <v>5.26</v>
      </c>
      <c r="F172" s="21" t="n">
        <v>0.79</v>
      </c>
      <c r="G172" s="20" t="n">
        <v>1</v>
      </c>
    </row>
    <row r="173" customFormat="false" ht="15" hidden="false" customHeight="true" outlineLevel="0" collapsed="false">
      <c r="A173" s="19" t="n">
        <v>45530</v>
      </c>
      <c r="B173" s="20" t="s">
        <v>23</v>
      </c>
      <c r="C173" s="20" t="s">
        <v>30</v>
      </c>
      <c r="D173" s="20" t="s">
        <v>28</v>
      </c>
      <c r="E173" s="21" t="n">
        <v>16832</v>
      </c>
      <c r="F173" s="21" t="n">
        <v>4356.42</v>
      </c>
      <c r="G173" s="20" t="n">
        <v>25</v>
      </c>
    </row>
    <row r="174" customFormat="false" ht="15" hidden="false" customHeight="true" outlineLevel="0" collapsed="false">
      <c r="A174" s="19" t="n">
        <v>45534</v>
      </c>
      <c r="B174" s="20" t="s">
        <v>31</v>
      </c>
      <c r="C174" s="20" t="s">
        <v>18</v>
      </c>
      <c r="D174" s="20" t="s">
        <v>20</v>
      </c>
      <c r="E174" s="21" t="n">
        <v>247.2</v>
      </c>
      <c r="F174" s="21" t="n">
        <v>66.75</v>
      </c>
      <c r="G174" s="20" t="n">
        <v>5</v>
      </c>
    </row>
    <row r="175" customFormat="false" ht="15" hidden="false" customHeight="true" outlineLevel="0" collapsed="false">
      <c r="A175" s="19" t="n">
        <v>45518</v>
      </c>
      <c r="B175" s="20" t="s">
        <v>33</v>
      </c>
      <c r="C175" s="20" t="s">
        <v>18</v>
      </c>
      <c r="D175" s="20" t="s">
        <v>20</v>
      </c>
      <c r="E175" s="21" t="n">
        <v>310.17</v>
      </c>
      <c r="F175" s="21" t="n">
        <v>45.22</v>
      </c>
      <c r="G175" s="20" t="n">
        <v>21</v>
      </c>
    </row>
    <row r="176" customFormat="false" ht="15" hidden="false" customHeight="true" outlineLevel="0" collapsed="false">
      <c r="A176" s="19" t="n">
        <v>45452</v>
      </c>
      <c r="B176" s="20" t="s">
        <v>33</v>
      </c>
      <c r="C176" s="20" t="s">
        <v>18</v>
      </c>
      <c r="D176" s="20" t="s">
        <v>20</v>
      </c>
      <c r="E176" s="21" t="n">
        <v>1069.75</v>
      </c>
      <c r="F176" s="21" t="n">
        <v>124.52</v>
      </c>
      <c r="G176" s="20" t="n">
        <v>25</v>
      </c>
    </row>
    <row r="177" customFormat="false" ht="15" hidden="false" customHeight="true" outlineLevel="0" collapsed="false">
      <c r="A177" s="19" t="n">
        <v>45361</v>
      </c>
      <c r="B177" s="20" t="s">
        <v>19</v>
      </c>
      <c r="C177" s="20" t="s">
        <v>18</v>
      </c>
      <c r="D177" s="20" t="s">
        <v>28</v>
      </c>
      <c r="E177" s="21" t="n">
        <v>10563.12</v>
      </c>
      <c r="F177" s="21" t="n">
        <v>1614.85</v>
      </c>
      <c r="G177" s="20" t="n">
        <v>24</v>
      </c>
    </row>
    <row r="178" customFormat="false" ht="15" hidden="false" customHeight="true" outlineLevel="0" collapsed="false">
      <c r="A178" s="19" t="n">
        <v>45359</v>
      </c>
      <c r="B178" s="20" t="s">
        <v>31</v>
      </c>
      <c r="C178" s="20" t="s">
        <v>26</v>
      </c>
      <c r="D178" s="20" t="s">
        <v>20</v>
      </c>
      <c r="E178" s="21" t="n">
        <v>2127.84</v>
      </c>
      <c r="F178" s="21" t="n">
        <v>726.13</v>
      </c>
      <c r="G178" s="20" t="n">
        <v>22</v>
      </c>
    </row>
    <row r="179" customFormat="false" ht="15" hidden="false" customHeight="true" outlineLevel="0" collapsed="false">
      <c r="A179" s="19" t="n">
        <v>45325</v>
      </c>
      <c r="B179" s="20" t="s">
        <v>27</v>
      </c>
      <c r="C179" s="20" t="s">
        <v>26</v>
      </c>
      <c r="D179" s="20" t="s">
        <v>20</v>
      </c>
      <c r="E179" s="21" t="n">
        <v>1502.05</v>
      </c>
      <c r="F179" s="21" t="n">
        <v>485.63</v>
      </c>
      <c r="G179" s="20" t="n">
        <v>11</v>
      </c>
    </row>
    <row r="180" customFormat="false" ht="15" hidden="false" customHeight="true" outlineLevel="0" collapsed="false">
      <c r="A180" s="19" t="n">
        <v>45525</v>
      </c>
      <c r="B180" s="20" t="s">
        <v>23</v>
      </c>
      <c r="C180" s="20" t="s">
        <v>26</v>
      </c>
      <c r="D180" s="20" t="s">
        <v>28</v>
      </c>
      <c r="E180" s="21" t="n">
        <v>3933.28</v>
      </c>
      <c r="F180" s="21" t="n">
        <v>794.62</v>
      </c>
      <c r="G180" s="20" t="n">
        <v>16</v>
      </c>
    </row>
    <row r="181" customFormat="false" ht="15" hidden="false" customHeight="true" outlineLevel="0" collapsed="false">
      <c r="A181" s="19" t="n">
        <v>45551</v>
      </c>
      <c r="B181" s="20" t="s">
        <v>23</v>
      </c>
      <c r="C181" s="20" t="s">
        <v>26</v>
      </c>
      <c r="D181" s="20" t="s">
        <v>24</v>
      </c>
      <c r="E181" s="21" t="n">
        <v>478.52</v>
      </c>
      <c r="F181" s="21" t="n">
        <v>103.33</v>
      </c>
      <c r="G181" s="20" t="n">
        <v>2</v>
      </c>
    </row>
    <row r="182" customFormat="false" ht="15" hidden="false" customHeight="true" outlineLevel="0" collapsed="false">
      <c r="A182" s="19" t="n">
        <v>45617</v>
      </c>
      <c r="B182" s="20" t="s">
        <v>27</v>
      </c>
      <c r="C182" s="20" t="s">
        <v>26</v>
      </c>
      <c r="D182" s="20" t="s">
        <v>24</v>
      </c>
      <c r="E182" s="21" t="n">
        <v>737.88</v>
      </c>
      <c r="F182" s="21" t="n">
        <v>237.33</v>
      </c>
      <c r="G182" s="20" t="n">
        <v>6</v>
      </c>
    </row>
    <row r="183" customFormat="false" ht="15" hidden="false" customHeight="true" outlineLevel="0" collapsed="false">
      <c r="A183" s="19" t="n">
        <v>45563</v>
      </c>
      <c r="B183" s="20" t="s">
        <v>19</v>
      </c>
      <c r="C183" s="20" t="s">
        <v>26</v>
      </c>
      <c r="D183" s="20" t="s">
        <v>24</v>
      </c>
      <c r="E183" s="21" t="n">
        <v>6320.88</v>
      </c>
      <c r="F183" s="21" t="n">
        <v>1262.83</v>
      </c>
      <c r="G183" s="20" t="n">
        <v>18</v>
      </c>
    </row>
    <row r="184" customFormat="false" ht="15" hidden="false" customHeight="true" outlineLevel="0" collapsed="false">
      <c r="A184" s="19" t="n">
        <v>45345</v>
      </c>
      <c r="B184" s="20" t="s">
        <v>27</v>
      </c>
      <c r="C184" s="20" t="s">
        <v>30</v>
      </c>
      <c r="D184" s="20" t="s">
        <v>28</v>
      </c>
      <c r="E184" s="21" t="n">
        <v>653.04</v>
      </c>
      <c r="F184" s="21" t="n">
        <v>284.73</v>
      </c>
      <c r="G184" s="20" t="n">
        <v>12</v>
      </c>
    </row>
    <row r="185" customFormat="false" ht="15" hidden="false" customHeight="true" outlineLevel="0" collapsed="false">
      <c r="A185" s="19" t="n">
        <v>45587</v>
      </c>
      <c r="B185" s="20" t="s">
        <v>23</v>
      </c>
      <c r="C185" s="20" t="s">
        <v>26</v>
      </c>
      <c r="D185" s="20" t="s">
        <v>24</v>
      </c>
      <c r="E185" s="21" t="n">
        <v>3924.25</v>
      </c>
      <c r="F185" s="21" t="n">
        <v>780.04</v>
      </c>
      <c r="G185" s="20" t="n">
        <v>25</v>
      </c>
    </row>
    <row r="186" customFormat="false" ht="15" hidden="false" customHeight="true" outlineLevel="0" collapsed="false">
      <c r="A186" s="19" t="n">
        <v>45607</v>
      </c>
      <c r="B186" s="20" t="s">
        <v>19</v>
      </c>
      <c r="C186" s="20" t="s">
        <v>26</v>
      </c>
      <c r="D186" s="20" t="s">
        <v>28</v>
      </c>
      <c r="E186" s="21" t="n">
        <v>2171.16</v>
      </c>
      <c r="F186" s="21" t="n">
        <v>482.52</v>
      </c>
      <c r="G186" s="20" t="n">
        <v>9</v>
      </c>
    </row>
    <row r="187" customFormat="false" ht="15" hidden="false" customHeight="true" outlineLevel="0" collapsed="false">
      <c r="A187" s="19" t="n">
        <v>45591</v>
      </c>
      <c r="B187" s="20" t="s">
        <v>27</v>
      </c>
      <c r="C187" s="20" t="s">
        <v>18</v>
      </c>
      <c r="D187" s="20" t="s">
        <v>28</v>
      </c>
      <c r="E187" s="21" t="n">
        <v>97.62</v>
      </c>
      <c r="F187" s="21" t="n">
        <v>31.81</v>
      </c>
      <c r="G187" s="20" t="n">
        <v>2</v>
      </c>
    </row>
    <row r="188" customFormat="false" ht="15" hidden="false" customHeight="true" outlineLevel="0" collapsed="false">
      <c r="A188" s="19" t="n">
        <v>45612</v>
      </c>
      <c r="B188" s="20" t="s">
        <v>31</v>
      </c>
      <c r="C188" s="20" t="s">
        <v>30</v>
      </c>
      <c r="D188" s="20" t="s">
        <v>28</v>
      </c>
      <c r="E188" s="21" t="n">
        <v>1302.12</v>
      </c>
      <c r="F188" s="21" t="n">
        <v>313.34</v>
      </c>
      <c r="G188" s="20" t="n">
        <v>12</v>
      </c>
    </row>
    <row r="189" customFormat="false" ht="15" hidden="false" customHeight="true" outlineLevel="0" collapsed="false">
      <c r="A189" s="19" t="n">
        <v>45408</v>
      </c>
      <c r="B189" s="20" t="s">
        <v>33</v>
      </c>
      <c r="C189" s="20" t="s">
        <v>18</v>
      </c>
      <c r="D189" s="20" t="s">
        <v>20</v>
      </c>
      <c r="E189" s="21" t="n">
        <v>10.4</v>
      </c>
      <c r="F189" s="21" t="n">
        <v>1.2</v>
      </c>
      <c r="G189" s="20" t="n">
        <v>2</v>
      </c>
    </row>
    <row r="190" customFormat="false" ht="15" hidden="false" customHeight="true" outlineLevel="0" collapsed="false">
      <c r="A190" s="19" t="n">
        <v>45346</v>
      </c>
      <c r="B190" s="20" t="s">
        <v>33</v>
      </c>
      <c r="C190" s="20" t="s">
        <v>26</v>
      </c>
      <c r="D190" s="20" t="s">
        <v>28</v>
      </c>
      <c r="E190" s="21" t="n">
        <v>287.92</v>
      </c>
      <c r="F190" s="21" t="n">
        <v>32.32</v>
      </c>
      <c r="G190" s="20" t="n">
        <v>8</v>
      </c>
    </row>
    <row r="191" customFormat="false" ht="15" hidden="false" customHeight="true" outlineLevel="0" collapsed="false">
      <c r="A191" s="19" t="n">
        <v>45360</v>
      </c>
      <c r="B191" s="20" t="s">
        <v>23</v>
      </c>
      <c r="C191" s="20" t="s">
        <v>26</v>
      </c>
      <c r="D191" s="20" t="s">
        <v>28</v>
      </c>
      <c r="E191" s="21" t="n">
        <v>3376.64</v>
      </c>
      <c r="F191" s="21" t="n">
        <v>599.01</v>
      </c>
      <c r="G191" s="20" t="n">
        <v>16</v>
      </c>
    </row>
    <row r="192" customFormat="false" ht="15" hidden="false" customHeight="true" outlineLevel="0" collapsed="false">
      <c r="A192" s="19" t="n">
        <v>45416</v>
      </c>
      <c r="B192" s="20" t="s">
        <v>23</v>
      </c>
      <c r="C192" s="20" t="s">
        <v>30</v>
      </c>
      <c r="D192" s="20" t="s">
        <v>20</v>
      </c>
      <c r="E192" s="21" t="n">
        <v>1640.25</v>
      </c>
      <c r="F192" s="21" t="n">
        <v>430.17</v>
      </c>
      <c r="G192" s="20" t="n">
        <v>3</v>
      </c>
    </row>
    <row r="193" customFormat="false" ht="15" hidden="false" customHeight="true" outlineLevel="0" collapsed="false">
      <c r="A193" s="19" t="n">
        <v>45430</v>
      </c>
      <c r="B193" s="20" t="s">
        <v>31</v>
      </c>
      <c r="C193" s="20" t="s">
        <v>26</v>
      </c>
      <c r="D193" s="20" t="s">
        <v>20</v>
      </c>
      <c r="E193" s="21" t="n">
        <v>161.88</v>
      </c>
      <c r="F193" s="21" t="n">
        <v>47.73</v>
      </c>
      <c r="G193" s="20" t="n">
        <v>2</v>
      </c>
    </row>
    <row r="194" customFormat="false" ht="15" hidden="false" customHeight="true" outlineLevel="0" collapsed="false">
      <c r="A194" s="19" t="n">
        <v>45471</v>
      </c>
      <c r="B194" s="20" t="s">
        <v>33</v>
      </c>
      <c r="C194" s="20" t="s">
        <v>30</v>
      </c>
      <c r="D194" s="20" t="s">
        <v>28</v>
      </c>
      <c r="E194" s="21" t="n">
        <v>1020.17</v>
      </c>
      <c r="F194" s="21" t="n">
        <v>111.63</v>
      </c>
      <c r="G194" s="20" t="n">
        <v>17</v>
      </c>
    </row>
    <row r="195" customFormat="false" ht="15" hidden="false" customHeight="true" outlineLevel="0" collapsed="false">
      <c r="A195" s="19" t="n">
        <v>45292</v>
      </c>
      <c r="B195" s="20" t="s">
        <v>19</v>
      </c>
      <c r="C195" s="20" t="s">
        <v>18</v>
      </c>
      <c r="D195" s="20" t="s">
        <v>28</v>
      </c>
      <c r="E195" s="21" t="n">
        <v>291.11</v>
      </c>
      <c r="F195" s="21" t="n">
        <v>47.52</v>
      </c>
      <c r="G195" s="20" t="n">
        <v>1</v>
      </c>
    </row>
    <row r="196" customFormat="false" ht="15" hidden="false" customHeight="true" outlineLevel="0" collapsed="false">
      <c r="A196" s="19" t="n">
        <v>45321</v>
      </c>
      <c r="B196" s="20" t="s">
        <v>19</v>
      </c>
      <c r="C196" s="20" t="s">
        <v>18</v>
      </c>
      <c r="D196" s="20" t="s">
        <v>28</v>
      </c>
      <c r="E196" s="21" t="n">
        <v>7587.72</v>
      </c>
      <c r="F196" s="21" t="n">
        <v>1213.87</v>
      </c>
      <c r="G196" s="20" t="n">
        <v>18</v>
      </c>
    </row>
    <row r="197" customFormat="false" ht="15" hidden="false" customHeight="true" outlineLevel="0" collapsed="false">
      <c r="A197" s="19" t="n">
        <v>45503</v>
      </c>
      <c r="B197" s="20" t="s">
        <v>23</v>
      </c>
      <c r="C197" s="20" t="s">
        <v>30</v>
      </c>
      <c r="D197" s="20" t="s">
        <v>28</v>
      </c>
      <c r="E197" s="21" t="n">
        <v>2736</v>
      </c>
      <c r="F197" s="21" t="n">
        <v>498.81</v>
      </c>
      <c r="G197" s="20" t="n">
        <v>6</v>
      </c>
    </row>
    <row r="198" customFormat="false" ht="15" hidden="false" customHeight="true" outlineLevel="0" collapsed="false">
      <c r="A198" s="19" t="n">
        <v>45612</v>
      </c>
      <c r="B198" s="20" t="s">
        <v>19</v>
      </c>
      <c r="C198" s="20" t="s">
        <v>30</v>
      </c>
      <c r="D198" s="20" t="s">
        <v>28</v>
      </c>
      <c r="E198" s="21" t="n">
        <v>1499.4</v>
      </c>
      <c r="F198" s="21" t="n">
        <v>318.47</v>
      </c>
      <c r="G198" s="20" t="n">
        <v>18</v>
      </c>
    </row>
    <row r="199" customFormat="false" ht="15" hidden="false" customHeight="true" outlineLevel="0" collapsed="false">
      <c r="A199" s="19" t="n">
        <v>45530</v>
      </c>
      <c r="B199" s="20" t="s">
        <v>19</v>
      </c>
      <c r="C199" s="20" t="s">
        <v>30</v>
      </c>
      <c r="D199" s="20" t="s">
        <v>20</v>
      </c>
      <c r="E199" s="21" t="n">
        <v>4785.92</v>
      </c>
      <c r="F199" s="21" t="n">
        <v>790.52</v>
      </c>
      <c r="G199" s="20" t="n">
        <v>8</v>
      </c>
    </row>
    <row r="200" customFormat="false" ht="15" hidden="false" customHeight="true" outlineLevel="0" collapsed="false">
      <c r="A200" s="19" t="n">
        <v>45621</v>
      </c>
      <c r="B200" s="20" t="s">
        <v>19</v>
      </c>
      <c r="C200" s="20" t="s">
        <v>18</v>
      </c>
      <c r="D200" s="20" t="s">
        <v>24</v>
      </c>
      <c r="E200" s="21" t="n">
        <v>13466.16</v>
      </c>
      <c r="F200" s="21" t="n">
        <v>2967.55</v>
      </c>
      <c r="G200" s="20" t="n">
        <v>24</v>
      </c>
    </row>
    <row r="201" customFormat="false" ht="15" hidden="false" customHeight="true" outlineLevel="0" collapsed="false">
      <c r="A201" s="19" t="n">
        <v>45426</v>
      </c>
      <c r="B201" s="20" t="s">
        <v>19</v>
      </c>
      <c r="C201" s="20" t="s">
        <v>26</v>
      </c>
      <c r="D201" s="20" t="s">
        <v>28</v>
      </c>
      <c r="E201" s="21" t="n">
        <v>7797.6</v>
      </c>
      <c r="F201" s="21" t="n">
        <v>1555.97</v>
      </c>
      <c r="G201" s="20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</v>
      </c>
      <c r="B1" s="1" t="s">
        <v>3</v>
      </c>
    </row>
    <row r="2" customFormat="false" ht="15" hidden="false" customHeight="true" outlineLevel="0" collapsed="false">
      <c r="A2" s="1" t="s">
        <v>18</v>
      </c>
      <c r="B2" s="1" t="s">
        <v>19</v>
      </c>
    </row>
    <row r="3" customFormat="false" ht="15" hidden="false" customHeight="true" outlineLevel="0" collapsed="false">
      <c r="A3" s="1" t="s">
        <v>22</v>
      </c>
      <c r="B3" s="1" t="s">
        <v>23</v>
      </c>
    </row>
    <row r="4" customFormat="false" ht="15" hidden="false" customHeight="true" outlineLevel="0" collapsed="false">
      <c r="A4" s="1" t="s">
        <v>26</v>
      </c>
      <c r="B4" s="1" t="s">
        <v>27</v>
      </c>
    </row>
    <row r="5" customFormat="false" ht="15" hidden="false" customHeight="true" outlineLevel="0" collapsed="false">
      <c r="A5" s="1" t="s">
        <v>30</v>
      </c>
      <c r="B5" s="1" t="s">
        <v>31</v>
      </c>
    </row>
    <row r="6" customFormat="false" ht="15" hidden="false" customHeight="true" outlineLevel="0" collapsed="false">
      <c r="B6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A5E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8" min="2" style="1" width="16"/>
  </cols>
  <sheetData>
    <row r="1" customFormat="false" ht="15" hidden="false" customHeight="true" outlineLevel="0" collapsed="false">
      <c r="A1" s="22" t="s">
        <v>52</v>
      </c>
      <c r="B1" s="22"/>
      <c r="C1" s="22"/>
      <c r="D1" s="22"/>
      <c r="E1" s="22"/>
      <c r="F1" s="22"/>
    </row>
    <row r="2" customFormat="false" ht="15" hidden="false" customHeight="true" outlineLevel="0" collapsed="false">
      <c r="A2" s="22"/>
      <c r="B2" s="22"/>
      <c r="C2" s="22"/>
      <c r="D2" s="22"/>
      <c r="E2" s="22"/>
      <c r="F2" s="22"/>
    </row>
    <row r="4" customFormat="false" ht="19.5" hidden="false" customHeight="true" outlineLevel="0" collapsed="false">
      <c r="A4" s="23" t="s">
        <v>53</v>
      </c>
      <c r="B4" s="24" t="s">
        <v>54</v>
      </c>
      <c r="C4" s="24"/>
      <c r="D4" s="24"/>
      <c r="E4" s="24"/>
      <c r="F4" s="24"/>
      <c r="G4" s="24"/>
      <c r="H4" s="24"/>
    </row>
    <row r="5" customFormat="false" ht="33.75" hidden="false" customHeight="true" outlineLevel="0" collapsed="false">
      <c r="A5" s="25"/>
      <c r="B5" s="24"/>
      <c r="C5" s="24"/>
      <c r="D5" s="24"/>
      <c r="E5" s="24"/>
      <c r="F5" s="24"/>
      <c r="G5" s="24"/>
      <c r="H5" s="24"/>
    </row>
    <row r="7" customFormat="false" ht="19.5" hidden="false" customHeight="true" outlineLevel="0" collapsed="false">
      <c r="A7" s="23" t="s">
        <v>55</v>
      </c>
      <c r="B7" s="24" t="s">
        <v>56</v>
      </c>
      <c r="C7" s="24"/>
      <c r="D7" s="24"/>
      <c r="E7" s="24"/>
      <c r="F7" s="24"/>
      <c r="G7" s="24"/>
      <c r="H7" s="24"/>
    </row>
    <row r="8" customFormat="false" ht="33.75" hidden="false" customHeight="true" outlineLevel="0" collapsed="false">
      <c r="A8" s="25"/>
      <c r="B8" s="24"/>
      <c r="C8" s="24"/>
      <c r="D8" s="24"/>
      <c r="E8" s="24"/>
      <c r="F8" s="24"/>
      <c r="G8" s="24"/>
      <c r="H8" s="24"/>
    </row>
    <row r="10" customFormat="false" ht="19.5" hidden="false" customHeight="true" outlineLevel="0" collapsed="false">
      <c r="A10" s="23" t="s">
        <v>57</v>
      </c>
      <c r="B10" s="24" t="s">
        <v>58</v>
      </c>
      <c r="C10" s="24"/>
      <c r="D10" s="24"/>
      <c r="E10" s="24"/>
      <c r="F10" s="24"/>
      <c r="G10" s="24"/>
      <c r="H10" s="24"/>
    </row>
    <row r="11" customFormat="false" ht="33.75" hidden="false" customHeight="true" outlineLevel="0" collapsed="false">
      <c r="A11" s="25"/>
      <c r="B11" s="24"/>
      <c r="C11" s="24"/>
      <c r="D11" s="24"/>
      <c r="E11" s="24"/>
      <c r="F11" s="24"/>
      <c r="G11" s="24"/>
      <c r="H11" s="24"/>
    </row>
    <row r="13" customFormat="false" ht="19.5" hidden="false" customHeight="true" outlineLevel="0" collapsed="false">
      <c r="A13" s="23" t="s">
        <v>59</v>
      </c>
      <c r="B13" s="24" t="s">
        <v>60</v>
      </c>
      <c r="C13" s="24"/>
      <c r="D13" s="24"/>
      <c r="E13" s="24"/>
      <c r="F13" s="24"/>
      <c r="G13" s="24"/>
      <c r="H13" s="24"/>
    </row>
    <row r="14" customFormat="false" ht="33.75" hidden="false" customHeight="true" outlineLevel="0" collapsed="false">
      <c r="A14" s="25"/>
      <c r="B14" s="24"/>
      <c r="C14" s="24"/>
      <c r="D14" s="24"/>
      <c r="E14" s="24"/>
      <c r="F14" s="24"/>
      <c r="G14" s="24"/>
      <c r="H14" s="24"/>
    </row>
  </sheetData>
  <mergeCells count="5">
    <mergeCell ref="A1:F2"/>
    <mergeCell ref="B4:H5"/>
    <mergeCell ref="B7:H8"/>
    <mergeCell ref="B10:H11"/>
    <mergeCell ref="B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A5E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8" min="2" style="1" width="16"/>
  </cols>
  <sheetData>
    <row r="1" customFormat="false" ht="15" hidden="false" customHeight="true" outlineLevel="0" collapsed="false">
      <c r="A1" s="22" t="s">
        <v>61</v>
      </c>
      <c r="B1" s="22"/>
      <c r="C1" s="22"/>
      <c r="D1" s="22"/>
      <c r="E1" s="22"/>
      <c r="F1" s="22"/>
    </row>
    <row r="2" customFormat="false" ht="15" hidden="false" customHeight="true" outlineLevel="0" collapsed="false">
      <c r="A2" s="22"/>
      <c r="B2" s="22"/>
      <c r="C2" s="22"/>
      <c r="D2" s="22"/>
      <c r="E2" s="22"/>
      <c r="F2" s="22"/>
    </row>
    <row r="4" customFormat="false" ht="19.5" hidden="false" customHeight="true" outlineLevel="0" collapsed="false">
      <c r="A4" s="23" t="s">
        <v>53</v>
      </c>
      <c r="B4" s="24" t="s">
        <v>62</v>
      </c>
      <c r="C4" s="24"/>
      <c r="D4" s="24"/>
      <c r="E4" s="24"/>
      <c r="F4" s="24"/>
      <c r="G4" s="24"/>
      <c r="H4" s="24"/>
    </row>
    <row r="5" customFormat="false" ht="33.75" hidden="false" customHeight="true" outlineLevel="0" collapsed="false">
      <c r="A5" s="25"/>
      <c r="B5" s="24"/>
      <c r="C5" s="24"/>
      <c r="D5" s="24"/>
      <c r="E5" s="24"/>
      <c r="F5" s="24"/>
      <c r="G5" s="24"/>
      <c r="H5" s="24"/>
    </row>
    <row r="7" customFormat="false" ht="19.5" hidden="false" customHeight="true" outlineLevel="0" collapsed="false">
      <c r="A7" s="23" t="s">
        <v>55</v>
      </c>
      <c r="B7" s="24" t="s">
        <v>63</v>
      </c>
      <c r="C7" s="24"/>
      <c r="D7" s="24"/>
      <c r="E7" s="24"/>
      <c r="F7" s="24"/>
      <c r="G7" s="24"/>
      <c r="H7" s="24"/>
    </row>
    <row r="8" customFormat="false" ht="33.75" hidden="false" customHeight="true" outlineLevel="0" collapsed="false">
      <c r="A8" s="25"/>
      <c r="B8" s="24"/>
      <c r="C8" s="24"/>
      <c r="D8" s="24"/>
      <c r="E8" s="24"/>
      <c r="F8" s="24"/>
      <c r="G8" s="24"/>
      <c r="H8" s="24"/>
    </row>
    <row r="10" customFormat="false" ht="19.5" hidden="false" customHeight="true" outlineLevel="0" collapsed="false">
      <c r="A10" s="23" t="s">
        <v>57</v>
      </c>
      <c r="B10" s="24" t="s">
        <v>64</v>
      </c>
      <c r="C10" s="24"/>
      <c r="D10" s="24"/>
      <c r="E10" s="24"/>
      <c r="F10" s="24"/>
      <c r="G10" s="24"/>
      <c r="H10" s="24"/>
    </row>
    <row r="11" customFormat="false" ht="33.75" hidden="false" customHeight="true" outlineLevel="0" collapsed="false">
      <c r="A11" s="25"/>
      <c r="B11" s="24"/>
      <c r="C11" s="24"/>
      <c r="D11" s="24"/>
      <c r="E11" s="24"/>
      <c r="F11" s="24"/>
      <c r="G11" s="24"/>
      <c r="H11" s="24"/>
    </row>
    <row r="13" customFormat="false" ht="19.5" hidden="false" customHeight="true" outlineLevel="0" collapsed="false">
      <c r="A13" s="23" t="s">
        <v>59</v>
      </c>
      <c r="B13" s="24" t="s">
        <v>65</v>
      </c>
      <c r="C13" s="24"/>
      <c r="D13" s="24"/>
      <c r="E13" s="24"/>
      <c r="F13" s="24"/>
      <c r="G13" s="24"/>
      <c r="H13" s="24"/>
    </row>
    <row r="14" customFormat="false" ht="33.75" hidden="false" customHeight="true" outlineLevel="0" collapsed="false">
      <c r="A14" s="25"/>
      <c r="B14" s="24"/>
      <c r="C14" s="24"/>
      <c r="D14" s="24"/>
      <c r="E14" s="24"/>
      <c r="F14" s="24"/>
      <c r="G14" s="24"/>
      <c r="H14" s="24"/>
    </row>
  </sheetData>
  <mergeCells count="5">
    <mergeCell ref="A1:F2"/>
    <mergeCell ref="B4:H5"/>
    <mergeCell ref="B7:H8"/>
    <mergeCell ref="B10:H11"/>
    <mergeCell ref="B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2026-07-07T10:41:00Z</dcterms:created>
  <dc:creator>openpyxl</dc:creator>
  <dc:description/>
  <dc:language>en-US</dc:language>
  <cp:lastModifiedBy/>
  <dcterms:modified xsi:type="dcterms:W3CDTF">2026-07-07T10:42:16Z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